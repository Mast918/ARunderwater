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77f9899b760696/Documents/____PhD/07 Writeup/Archive 20251124/Framework/"/>
    </mc:Choice>
  </mc:AlternateContent>
  <xr:revisionPtr revIDLastSave="21" documentId="8_{A168E164-0D36-4A42-A00D-0CB35708F7D3}" xr6:coauthVersionLast="47" xr6:coauthVersionMax="47" xr10:uidLastSave="{1CC63AAC-AB25-47F4-AAAC-590D3045AB9B}"/>
  <bookViews>
    <workbookView xWindow="-120" yWindow="-120" windowWidth="38640" windowHeight="21120" firstSheet="1" activeTab="5" xr2:uid="{73400031-DE98-47BC-A976-B5306033422B}"/>
  </bookViews>
  <sheets>
    <sheet name="Process" sheetId="4" r:id="rId1"/>
    <sheet name="1 Questionnaire 2 Choices" sheetId="3" r:id="rId2"/>
    <sheet name="Decision outcomes" sheetId="5" r:id="rId3"/>
    <sheet name="Recommended Design wkng" sheetId="6" r:id="rId4"/>
    <sheet name="3 Recommended Design" sheetId="8" r:id="rId5"/>
    <sheet name="Final validatio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C22" i="8" s="1"/>
  <c r="G11" i="5"/>
  <c r="E27" i="6" s="1"/>
  <c r="C30" i="8" s="1"/>
  <c r="G10" i="5"/>
  <c r="E26" i="6" s="1"/>
  <c r="C28" i="8" s="1"/>
  <c r="G9" i="5"/>
  <c r="E25" i="6" s="1"/>
  <c r="C7" i="8" s="1"/>
  <c r="G8" i="5"/>
  <c r="E24" i="6" s="1"/>
  <c r="C20" i="8" s="1"/>
  <c r="G7" i="5"/>
  <c r="E23" i="6" s="1"/>
  <c r="C27" i="8" s="1"/>
  <c r="G6" i="5"/>
  <c r="E22" i="6" s="1"/>
  <c r="C26" i="8" s="1"/>
  <c r="G5" i="5"/>
  <c r="E21" i="6" s="1"/>
  <c r="C25" i="8" s="1"/>
  <c r="G4" i="5"/>
  <c r="E20" i="6" s="1"/>
  <c r="C24" i="8" s="1"/>
  <c r="E8" i="5"/>
  <c r="E18" i="6" s="1"/>
  <c r="C19" i="8" s="1"/>
  <c r="E7" i="5"/>
  <c r="E17" i="6" s="1"/>
  <c r="C18" i="8" s="1"/>
  <c r="E6" i="5"/>
  <c r="E16" i="6" s="1"/>
  <c r="C17" i="8" s="1"/>
  <c r="E5" i="5"/>
  <c r="E15" i="6" s="1"/>
  <c r="C16" i="8" s="1"/>
  <c r="E4" i="5"/>
  <c r="C12" i="5"/>
  <c r="E12" i="6" s="1"/>
  <c r="C12" i="8" s="1"/>
  <c r="C11" i="5"/>
  <c r="E11" i="6" s="1"/>
  <c r="C11" i="8" s="1"/>
  <c r="C10" i="5"/>
  <c r="E10" i="6" s="1"/>
  <c r="C14" i="8" s="1"/>
  <c r="C9" i="5"/>
  <c r="E9" i="6" s="1"/>
  <c r="C23" i="8" s="1"/>
  <c r="C8" i="5"/>
  <c r="C7" i="5"/>
  <c r="E7" i="6" s="1"/>
  <c r="C10" i="8" s="1"/>
  <c r="C6" i="5"/>
  <c r="E6" i="6" s="1"/>
  <c r="C9" i="8" s="1"/>
  <c r="C5" i="5"/>
  <c r="E5" i="6" s="1"/>
  <c r="C4" i="5"/>
  <c r="E4" i="6" s="1"/>
  <c r="C5" i="8" s="1"/>
  <c r="C6" i="8" l="1"/>
  <c r="E14" i="6"/>
  <c r="C15" i="8" s="1"/>
</calcChain>
</file>

<file path=xl/sharedStrings.xml><?xml version="1.0" encoding="utf-8"?>
<sst xmlns="http://schemas.openxmlformats.org/spreadsheetml/2006/main" count="223" uniqueCount="110">
  <si>
    <t>Yes</t>
  </si>
  <si>
    <t>No</t>
  </si>
  <si>
    <t>Technology Hardware</t>
  </si>
  <si>
    <t>Response</t>
  </si>
  <si>
    <t>Technology Software</t>
  </si>
  <si>
    <t>Distance from sensor to subject
(&lt;500mm, 500-2000mm, &gt;2000mm)</t>
  </si>
  <si>
    <t>What is the usage depth
(&lt;5m, 5-20m, &gt;20m)</t>
  </si>
  <si>
    <t>Does the test rig need to have different measurement distances</t>
  </si>
  <si>
    <t>Design and Construction</t>
  </si>
  <si>
    <t>Data accuracy
(+/-1mm, 1cm, 1m)</t>
  </si>
  <si>
    <t>Do I have to manufacture an underwater case
(Yes, No)</t>
  </si>
  <si>
    <t>Artificial Lighting to be used
(Yes, No)</t>
  </si>
  <si>
    <t>Is data recorded onboard or through tether
(Onboard, TruTether)</t>
  </si>
  <si>
    <t>Is power available onboard, or through tether
(Onboard, TruTether)</t>
  </si>
  <si>
    <t>Is the software self contained or on PC / Mac
(SWselfcontained, Laptop)</t>
  </si>
  <si>
    <t>Is the software custom for the sensor or generic
(Custom, Generic)</t>
  </si>
  <si>
    <t>Data for live view or recording
(Live, Recording)</t>
  </si>
  <si>
    <t>Data processing to be live or post
(Live, Post)</t>
  </si>
  <si>
    <t>Does the rig need to be postively, negatively or neutrally bouyant
(Pos, Neg, Neu)</t>
  </si>
  <si>
    <t>Is the environment hazardous of itself
(Yes, No)</t>
  </si>
  <si>
    <t>I need to turn on and off the sensor underwater
(Yes or No)</t>
  </si>
  <si>
    <t>Are there likely to be operational hazards
(Yes, No)</t>
  </si>
  <si>
    <t>ACTION:</t>
  </si>
  <si>
    <t>Real world</t>
  </si>
  <si>
    <t>Recommendation</t>
  </si>
  <si>
    <t>Laptop</t>
  </si>
  <si>
    <t>Design Recommendation</t>
  </si>
  <si>
    <t>If x=t and y=e then…....</t>
  </si>
  <si>
    <t>2. Decision Outcomes</t>
  </si>
  <si>
    <t>Process ARF-U</t>
  </si>
  <si>
    <t>3. Recommended Design</t>
  </si>
  <si>
    <t>Do you have a specific 3D depth sensor
(Yes, No)</t>
  </si>
  <si>
    <t>Implement an operating protocol including risk assessments for each element</t>
  </si>
  <si>
    <t>Test Rig specification - Hazardous requirements</t>
  </si>
  <si>
    <t>Software Specification - Install the required software onto the Laptop</t>
  </si>
  <si>
    <t>Software Specification</t>
  </si>
  <si>
    <t>Test Rig Specification</t>
  </si>
  <si>
    <t>Sensor Specification</t>
  </si>
  <si>
    <t>Operation Specification</t>
  </si>
  <si>
    <t>Case Specification</t>
  </si>
  <si>
    <t>Artificial Lighting required</t>
  </si>
  <si>
    <t>Choice</t>
  </si>
  <si>
    <t>Specification</t>
  </si>
  <si>
    <t>Define which AR software is needed  to be developed</t>
  </si>
  <si>
    <t>Show if</t>
  </si>
  <si>
    <t>Regular non specific Consumer or Commercial device
(mobile phone, camera)
(Yes, No)</t>
  </si>
  <si>
    <t>Define whether the regular device can be used for the testing required</t>
  </si>
  <si>
    <t>Design and build a waterproof case</t>
  </si>
  <si>
    <t>Both</t>
  </si>
  <si>
    <t>Specifications as required, defined by Questionnaire choices</t>
  </si>
  <si>
    <t>Define what device choice / technology may be used for this test</t>
  </si>
  <si>
    <t xml:space="preserve">Sensor Specification - Switchable underwater  </t>
  </si>
  <si>
    <t>Design and manufacture an underwater capable case</t>
  </si>
  <si>
    <t xml:space="preserve">Data through tether or onboard: </t>
  </si>
  <si>
    <t xml:space="preserve">Install the required software onto the device: </t>
  </si>
  <si>
    <t xml:space="preserve">Date visualisation: </t>
  </si>
  <si>
    <t xml:space="preserve">Data processing to be: </t>
  </si>
  <si>
    <t xml:space="preserve">Software Specification - Data accuracy definition: </t>
  </si>
  <si>
    <t xml:space="preserve">Tether required: </t>
  </si>
  <si>
    <t xml:space="preserve">Power required: </t>
  </si>
  <si>
    <t xml:space="preserve">Test Rig specification - Distance scale: </t>
  </si>
  <si>
    <t xml:space="preserve">Test Rig specification - Distance options, multiple measurements required: </t>
  </si>
  <si>
    <t xml:space="preserve">Test Rig specification - per depth choice: </t>
  </si>
  <si>
    <t xml:space="preserve">Test Rig specification - Negative, Neutral or Positively buoyant construction: </t>
  </si>
  <si>
    <t xml:space="preserve">   1. Questionnaire</t>
  </si>
  <si>
    <t>Fill in the light grey boxes only with the choices available</t>
  </si>
  <si>
    <t>3. Design Recommendation</t>
  </si>
  <si>
    <t>4. Full Dry test</t>
  </si>
  <si>
    <t>5. Wet Test (protected)</t>
  </si>
  <si>
    <t>6. Water Operation (real world)</t>
  </si>
  <si>
    <t>Assemble Test rig</t>
  </si>
  <si>
    <t>Encase sensor</t>
  </si>
  <si>
    <t>Install software</t>
  </si>
  <si>
    <t>Risk assessment complete</t>
  </si>
  <si>
    <t>Environment for test ready</t>
  </si>
  <si>
    <t>Test process approved</t>
  </si>
  <si>
    <t>Carry out test</t>
  </si>
  <si>
    <t>(Sample testing and operating procedure)</t>
  </si>
  <si>
    <t>Environment for test ready (protected underwater site / pool, underwater lab)</t>
  </si>
  <si>
    <t>Additional underwater processes and risk assessments approved</t>
  </si>
  <si>
    <t>Per defined process and policies.</t>
  </si>
  <si>
    <t>Test complete signoff</t>
  </si>
  <si>
    <t>Test complete and safe signoff</t>
  </si>
  <si>
    <t>Selfcontained</t>
  </si>
  <si>
    <t>Onboard</t>
  </si>
  <si>
    <t>Custom</t>
  </si>
  <si>
    <t xml:space="preserve">Make choices </t>
  </si>
  <si>
    <t xml:space="preserve">Here is a </t>
  </si>
  <si>
    <t>Where do we start?</t>
  </si>
  <si>
    <t>Build it</t>
  </si>
  <si>
    <t>Try this first</t>
  </si>
  <si>
    <t>Try this second</t>
  </si>
  <si>
    <t>Based on your</t>
  </si>
  <si>
    <t>Choices</t>
  </si>
  <si>
    <t>Is there an existing underwater case
(Yes, No)</t>
  </si>
  <si>
    <t>Is the device connected through a tether or self contained unit
(Tether, Selfcontained)</t>
  </si>
  <si>
    <t>Does the device have any scene reconstruction software
(Yes, No)</t>
  </si>
  <si>
    <t>Does the device have any scene reconstrution software
(Yes, No)</t>
  </si>
  <si>
    <t>Integrated viewing screen required with sensor
(Yes, No)</t>
  </si>
  <si>
    <t>LCD Viewing Screen required for case</t>
  </si>
  <si>
    <t>Integrated Viewing screen required with sensor
(Yes, No)</t>
  </si>
  <si>
    <t>Live view</t>
  </si>
  <si>
    <t>Live</t>
  </si>
  <si>
    <t>500-2000mm</t>
  </si>
  <si>
    <t>5-20m</t>
  </si>
  <si>
    <t>Neutral</t>
  </si>
  <si>
    <t>1cm</t>
  </si>
  <si>
    <t>Update protocols if required</t>
  </si>
  <si>
    <t>SOP complete for testing &amp; operating protocols</t>
  </si>
  <si>
    <t>Update protocols and design if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</si>
</sst>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darkTrellis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0" fillId="0" borderId="0" xfId="0" applyAlignment="1">
      <alignment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horizontal="center" vertical="top"/>
    </xf>
    <xf numFmtId="0" fontId="1" fillId="5" borderId="0" xfId="0" applyFont="1" applyFill="1" applyAlignment="1">
      <alignment vertical="top"/>
    </xf>
    <xf numFmtId="0" fontId="1" fillId="5" borderId="0" xfId="0" applyFont="1" applyFill="1" applyAlignment="1">
      <alignment horizontal="center" vertical="top"/>
    </xf>
    <xf numFmtId="0" fontId="1" fillId="5" borderId="0" xfId="0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9" borderId="1" xfId="0" applyFill="1" applyBorder="1" applyAlignment="1">
      <alignment vertical="top"/>
    </xf>
    <xf numFmtId="0" fontId="0" fillId="10" borderId="1" xfId="0" applyFill="1" applyBorder="1" applyAlignment="1">
      <alignment vertical="top"/>
    </xf>
    <xf numFmtId="0" fontId="0" fillId="11" borderId="0" xfId="0" applyFill="1" applyAlignment="1">
      <alignment vertical="top"/>
    </xf>
    <xf numFmtId="0" fontId="0" fillId="11" borderId="1" xfId="0" applyFill="1" applyBorder="1" applyAlignment="1">
      <alignment vertical="top"/>
    </xf>
    <xf numFmtId="0" fontId="1" fillId="0" borderId="0" xfId="0" applyFont="1"/>
    <xf numFmtId="0" fontId="0" fillId="5" borderId="0" xfId="0" applyFill="1"/>
    <xf numFmtId="0" fontId="1" fillId="5" borderId="0" xfId="0" applyFont="1" applyFill="1"/>
    <xf numFmtId="0" fontId="0" fillId="5" borderId="7" xfId="0" quotePrefix="1" applyFill="1" applyBorder="1"/>
    <xf numFmtId="0" fontId="0" fillId="5" borderId="8" xfId="0" quotePrefix="1" applyFill="1" applyBorder="1"/>
    <xf numFmtId="0" fontId="0" fillId="5" borderId="9" xfId="0" quotePrefix="1" applyFill="1" applyBorder="1"/>
    <xf numFmtId="0" fontId="0" fillId="5" borderId="0" xfId="0" quotePrefix="1" applyFill="1"/>
    <xf numFmtId="0" fontId="0" fillId="5" borderId="6" xfId="0" quotePrefix="1" applyFill="1" applyBorder="1"/>
    <xf numFmtId="0" fontId="1" fillId="5" borderId="0" xfId="0" applyFont="1" applyFill="1" applyAlignment="1">
      <alignment horizontal="left"/>
    </xf>
    <xf numFmtId="0" fontId="1" fillId="12" borderId="5" xfId="0" applyFont="1" applyFill="1" applyBorder="1"/>
    <xf numFmtId="0" fontId="1" fillId="6" borderId="2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1" fillId="7" borderId="2" xfId="0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0" fontId="1" fillId="7" borderId="4" xfId="0" applyFont="1" applyFill="1" applyBorder="1" applyAlignment="1">
      <alignment horizontal="left" vertical="top"/>
    </xf>
    <xf numFmtId="0" fontId="1" fillId="9" borderId="2" xfId="0" applyFont="1" applyFill="1" applyBorder="1" applyAlignment="1">
      <alignment horizontal="left" vertical="top"/>
    </xf>
    <xf numFmtId="0" fontId="1" fillId="9" borderId="3" xfId="0" applyFont="1" applyFill="1" applyBorder="1" applyAlignment="1">
      <alignment horizontal="left" vertical="top"/>
    </xf>
    <xf numFmtId="0" fontId="1" fillId="9" borderId="4" xfId="0" applyFont="1" applyFill="1" applyBorder="1" applyAlignment="1">
      <alignment horizontal="left" vertical="top"/>
    </xf>
    <xf numFmtId="0" fontId="1" fillId="8" borderId="2" xfId="0" applyFont="1" applyFill="1" applyBorder="1" applyAlignment="1">
      <alignment horizontal="left" vertical="top"/>
    </xf>
    <xf numFmtId="0" fontId="1" fillId="8" borderId="3" xfId="0" applyFont="1" applyFill="1" applyBorder="1" applyAlignment="1">
      <alignment horizontal="left" vertical="top"/>
    </xf>
    <xf numFmtId="0" fontId="1" fillId="8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78921</xdr:colOff>
      <xdr:row>19</xdr:row>
      <xdr:rowOff>167820</xdr:rowOff>
    </xdr:from>
    <xdr:to>
      <xdr:col>14</xdr:col>
      <xdr:colOff>399143</xdr:colOff>
      <xdr:row>24</xdr:row>
      <xdr:rowOff>92982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51311B7-7D2B-11E8-25F6-56CE2E6B7804}"/>
            </a:ext>
          </a:extLst>
        </xdr:cNvPr>
        <xdr:cNvSpPr/>
      </xdr:nvSpPr>
      <xdr:spPr>
        <a:xfrm>
          <a:off x="1126671" y="3701141"/>
          <a:ext cx="9028793" cy="854984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4535</xdr:colOff>
      <xdr:row>2</xdr:row>
      <xdr:rowOff>135165</xdr:rowOff>
    </xdr:from>
    <xdr:to>
      <xdr:col>3</xdr:col>
      <xdr:colOff>54428</xdr:colOff>
      <xdr:row>5</xdr:row>
      <xdr:rowOff>85272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5931D1A-415C-79E5-13AA-5B12E2AD2CB6}"/>
            </a:ext>
          </a:extLst>
        </xdr:cNvPr>
        <xdr:cNvSpPr/>
      </xdr:nvSpPr>
      <xdr:spPr>
        <a:xfrm>
          <a:off x="1052285" y="507094"/>
          <a:ext cx="1133929" cy="50799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1 Questionairre</a:t>
          </a:r>
        </a:p>
      </xdr:txBody>
    </xdr:sp>
    <xdr:clientData/>
  </xdr:twoCellAnchor>
  <xdr:twoCellAnchor>
    <xdr:from>
      <xdr:col>3</xdr:col>
      <xdr:colOff>152398</xdr:colOff>
      <xdr:row>2</xdr:row>
      <xdr:rowOff>135165</xdr:rowOff>
    </xdr:from>
    <xdr:to>
      <xdr:col>5</xdr:col>
      <xdr:colOff>116113</xdr:colOff>
      <xdr:row>5</xdr:row>
      <xdr:rowOff>85272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A9F1ECC-A87B-DD1D-E737-ED3B6317AA31}"/>
            </a:ext>
          </a:extLst>
        </xdr:cNvPr>
        <xdr:cNvSpPr/>
      </xdr:nvSpPr>
      <xdr:spPr>
        <a:xfrm>
          <a:off x="2284184" y="507094"/>
          <a:ext cx="1133929" cy="50799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2 Decisions needed</a:t>
          </a:r>
        </a:p>
      </xdr:txBody>
    </xdr:sp>
    <xdr:clientData/>
  </xdr:twoCellAnchor>
  <xdr:twoCellAnchor>
    <xdr:from>
      <xdr:col>6</xdr:col>
      <xdr:colOff>23584</xdr:colOff>
      <xdr:row>2</xdr:row>
      <xdr:rowOff>135165</xdr:rowOff>
    </xdr:from>
    <xdr:to>
      <xdr:col>7</xdr:col>
      <xdr:colOff>95249</xdr:colOff>
      <xdr:row>5</xdr:row>
      <xdr:rowOff>85272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271BFBD-053C-47C7-022F-60DDE27FFA27}"/>
            </a:ext>
          </a:extLst>
        </xdr:cNvPr>
        <xdr:cNvSpPr/>
      </xdr:nvSpPr>
      <xdr:spPr>
        <a:xfrm>
          <a:off x="3516084" y="507094"/>
          <a:ext cx="1278165" cy="50799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3 Recommendation</a:t>
          </a:r>
        </a:p>
      </xdr:txBody>
    </xdr:sp>
    <xdr:clientData/>
  </xdr:twoCellAnchor>
  <xdr:twoCellAnchor>
    <xdr:from>
      <xdr:col>7</xdr:col>
      <xdr:colOff>95249</xdr:colOff>
      <xdr:row>4</xdr:row>
      <xdr:rowOff>17237</xdr:rowOff>
    </xdr:from>
    <xdr:to>
      <xdr:col>8</xdr:col>
      <xdr:colOff>86179</xdr:colOff>
      <xdr:row>6</xdr:row>
      <xdr:rowOff>140607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631CD164-1E2D-C543-55F5-455C2C7E5B3D}"/>
            </a:ext>
          </a:extLst>
        </xdr:cNvPr>
        <xdr:cNvCxnSpPr>
          <a:stCxn id="5" idx="3"/>
        </xdr:cNvCxnSpPr>
      </xdr:nvCxnSpPr>
      <xdr:spPr>
        <a:xfrm>
          <a:off x="4794249" y="761094"/>
          <a:ext cx="181430" cy="495299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860877</xdr:colOff>
      <xdr:row>6</xdr:row>
      <xdr:rowOff>128815</xdr:rowOff>
    </xdr:from>
    <xdr:to>
      <xdr:col>8</xdr:col>
      <xdr:colOff>742042</xdr:colOff>
      <xdr:row>12</xdr:row>
      <xdr:rowOff>45358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C72DD7D-EA8A-63A8-5065-C51483C69222}"/>
            </a:ext>
          </a:extLst>
        </xdr:cNvPr>
        <xdr:cNvSpPr/>
      </xdr:nvSpPr>
      <xdr:spPr>
        <a:xfrm>
          <a:off x="4353377" y="1244601"/>
          <a:ext cx="1278165" cy="1032328"/>
        </a:xfrm>
        <a:prstGeom prst="roundRect">
          <a:avLst/>
        </a:prstGeom>
        <a:solidFill>
          <a:srgbClr val="FFC000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IE" sz="1100" b="1"/>
            <a:t>Build Testing Protocol</a:t>
          </a:r>
          <a:r>
            <a:rPr lang="en-IE" sz="1100" b="1" baseline="0"/>
            <a:t> &amp; System</a:t>
          </a:r>
          <a:endParaRPr lang="en-IE" sz="1100" b="1"/>
        </a:p>
      </xdr:txBody>
    </xdr:sp>
    <xdr:clientData/>
  </xdr:twoCellAnchor>
  <xdr:twoCellAnchor>
    <xdr:from>
      <xdr:col>9</xdr:col>
      <xdr:colOff>17234</xdr:colOff>
      <xdr:row>6</xdr:row>
      <xdr:rowOff>176979</xdr:rowOff>
    </xdr:from>
    <xdr:to>
      <xdr:col>10</xdr:col>
      <xdr:colOff>1104899</xdr:colOff>
      <xdr:row>11</xdr:row>
      <xdr:rowOff>183158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C68BCB6-F8D4-06E0-BF93-8299647C9FF7}"/>
            </a:ext>
          </a:extLst>
        </xdr:cNvPr>
        <xdr:cNvSpPr/>
      </xdr:nvSpPr>
      <xdr:spPr>
        <a:xfrm>
          <a:off x="5863770" y="1292765"/>
          <a:ext cx="1278165" cy="936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4 Carry out full dry test, controlled environment</a:t>
          </a:r>
        </a:p>
      </xdr:txBody>
    </xdr:sp>
    <xdr:clientData/>
  </xdr:twoCellAnchor>
  <xdr:twoCellAnchor>
    <xdr:from>
      <xdr:col>8</xdr:col>
      <xdr:colOff>742042</xdr:colOff>
      <xdr:row>9</xdr:row>
      <xdr:rowOff>87086</xdr:rowOff>
    </xdr:from>
    <xdr:to>
      <xdr:col>9</xdr:col>
      <xdr:colOff>17234</xdr:colOff>
      <xdr:row>9</xdr:row>
      <xdr:rowOff>87086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75E38E7-7A30-CDDC-6281-0C72AC98C2E2}"/>
            </a:ext>
          </a:extLst>
        </xdr:cNvPr>
        <xdr:cNvCxnSpPr>
          <a:stCxn id="9" idx="3"/>
          <a:endCxn id="10" idx="1"/>
        </xdr:cNvCxnSpPr>
      </xdr:nvCxnSpPr>
      <xdr:spPr>
        <a:xfrm>
          <a:off x="5631542" y="1760765"/>
          <a:ext cx="23222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1299027</xdr:colOff>
      <xdr:row>6</xdr:row>
      <xdr:rowOff>176979</xdr:rowOff>
    </xdr:from>
    <xdr:to>
      <xdr:col>12</xdr:col>
      <xdr:colOff>740228</xdr:colOff>
      <xdr:row>11</xdr:row>
      <xdr:rowOff>183158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8897DD6-6F2E-BA85-3F63-0BADA5AF8DEA}"/>
            </a:ext>
          </a:extLst>
        </xdr:cNvPr>
        <xdr:cNvSpPr/>
      </xdr:nvSpPr>
      <xdr:spPr>
        <a:xfrm>
          <a:off x="7336063" y="1292765"/>
          <a:ext cx="1278165" cy="936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5 Carry out safe water test</a:t>
          </a:r>
        </a:p>
      </xdr:txBody>
    </xdr:sp>
    <xdr:clientData/>
  </xdr:twoCellAnchor>
  <xdr:twoCellAnchor>
    <xdr:from>
      <xdr:col>12</xdr:col>
      <xdr:colOff>938891</xdr:colOff>
      <xdr:row>6</xdr:row>
      <xdr:rowOff>176979</xdr:rowOff>
    </xdr:from>
    <xdr:to>
      <xdr:col>14</xdr:col>
      <xdr:colOff>334735</xdr:colOff>
      <xdr:row>11</xdr:row>
      <xdr:rowOff>183158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8E2F812-9C83-540A-D71B-7A68C532AAA7}"/>
            </a:ext>
          </a:extLst>
        </xdr:cNvPr>
        <xdr:cNvSpPr/>
      </xdr:nvSpPr>
      <xdr:spPr>
        <a:xfrm>
          <a:off x="8812891" y="1292765"/>
          <a:ext cx="1278165" cy="936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0"/>
        <a:lstStyle/>
        <a:p>
          <a:pPr algn="ctr"/>
          <a:r>
            <a:rPr lang="en-IE" sz="1100" b="1"/>
            <a:t>6 Carry out real-world test</a:t>
          </a:r>
        </a:p>
      </xdr:txBody>
    </xdr:sp>
    <xdr:clientData/>
  </xdr:twoCellAnchor>
  <xdr:twoCellAnchor>
    <xdr:from>
      <xdr:col>10</xdr:col>
      <xdr:colOff>1104899</xdr:colOff>
      <xdr:row>9</xdr:row>
      <xdr:rowOff>87086</xdr:rowOff>
    </xdr:from>
    <xdr:to>
      <xdr:col>10</xdr:col>
      <xdr:colOff>1299027</xdr:colOff>
      <xdr:row>9</xdr:row>
      <xdr:rowOff>87086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A9843811-EAB4-B71B-5622-D8F18B7AEB95}"/>
            </a:ext>
          </a:extLst>
        </xdr:cNvPr>
        <xdr:cNvCxnSpPr>
          <a:stCxn id="10" idx="3"/>
          <a:endCxn id="13" idx="1"/>
        </xdr:cNvCxnSpPr>
      </xdr:nvCxnSpPr>
      <xdr:spPr>
        <a:xfrm>
          <a:off x="7141935" y="1760765"/>
          <a:ext cx="19412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740228</xdr:colOff>
      <xdr:row>9</xdr:row>
      <xdr:rowOff>87086</xdr:rowOff>
    </xdr:from>
    <xdr:to>
      <xdr:col>12</xdr:col>
      <xdr:colOff>938891</xdr:colOff>
      <xdr:row>9</xdr:row>
      <xdr:rowOff>87086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55A8E1B-D05B-DBB5-68B4-DA3B26943C41}"/>
            </a:ext>
          </a:extLst>
        </xdr:cNvPr>
        <xdr:cNvCxnSpPr>
          <a:stCxn id="13" idx="3"/>
          <a:endCxn id="14" idx="1"/>
        </xdr:cNvCxnSpPr>
      </xdr:nvCxnSpPr>
      <xdr:spPr>
        <a:xfrm>
          <a:off x="8614228" y="1760765"/>
          <a:ext cx="19866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1183821</xdr:colOff>
      <xdr:row>0</xdr:row>
      <xdr:rowOff>81641</xdr:rowOff>
    </xdr:from>
    <xdr:to>
      <xdr:col>12</xdr:col>
      <xdr:colOff>848178</xdr:colOff>
      <xdr:row>4</xdr:row>
      <xdr:rowOff>185962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EE0CF4B-5AB3-5B8F-9498-CF273E69FD91}"/>
            </a:ext>
          </a:extLst>
        </xdr:cNvPr>
        <xdr:cNvSpPr/>
      </xdr:nvSpPr>
      <xdr:spPr>
        <a:xfrm>
          <a:off x="7220857" y="81641"/>
          <a:ext cx="1501321" cy="848178"/>
        </a:xfrm>
        <a:prstGeom prst="ellipse">
          <a:avLst/>
        </a:prstGeom>
        <a:solidFill>
          <a:srgbClr val="7030A0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lang="en-IE" sz="1100" b="1"/>
            <a:t>Check tesing protocl, adjust as necessay</a:t>
          </a:r>
        </a:p>
      </xdr:txBody>
    </xdr:sp>
    <xdr:clientData/>
  </xdr:twoCellAnchor>
  <xdr:twoCellAnchor>
    <xdr:from>
      <xdr:col>10</xdr:col>
      <xdr:colOff>465817</xdr:colOff>
      <xdr:row>2</xdr:row>
      <xdr:rowOff>133801</xdr:rowOff>
    </xdr:from>
    <xdr:to>
      <xdr:col>10</xdr:col>
      <xdr:colOff>1183821</xdr:colOff>
      <xdr:row>6</xdr:row>
      <xdr:rowOff>176979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164BA11-B2B8-B7A9-2B67-C4822E263EBA}"/>
            </a:ext>
          </a:extLst>
        </xdr:cNvPr>
        <xdr:cNvCxnSpPr>
          <a:stCxn id="10" idx="0"/>
          <a:endCxn id="19" idx="2"/>
        </xdr:cNvCxnSpPr>
      </xdr:nvCxnSpPr>
      <xdr:spPr>
        <a:xfrm flipV="1">
          <a:off x="6502853" y="505730"/>
          <a:ext cx="718004" cy="7870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97518</xdr:colOff>
      <xdr:row>4</xdr:row>
      <xdr:rowOff>185962</xdr:rowOff>
    </xdr:from>
    <xdr:to>
      <xdr:col>12</xdr:col>
      <xdr:colOff>101146</xdr:colOff>
      <xdr:row>6</xdr:row>
      <xdr:rowOff>176979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14E5B9F-9CCD-C5D0-6A02-BE66C8B458AB}"/>
            </a:ext>
          </a:extLst>
        </xdr:cNvPr>
        <xdr:cNvCxnSpPr>
          <a:stCxn id="13" idx="0"/>
          <a:endCxn id="19" idx="4"/>
        </xdr:cNvCxnSpPr>
      </xdr:nvCxnSpPr>
      <xdr:spPr>
        <a:xfrm flipH="1" flipV="1">
          <a:off x="7971518" y="929819"/>
          <a:ext cx="3628" cy="36294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848178</xdr:colOff>
      <xdr:row>2</xdr:row>
      <xdr:rowOff>133801</xdr:rowOff>
    </xdr:from>
    <xdr:to>
      <xdr:col>13</xdr:col>
      <xdr:colOff>335188</xdr:colOff>
      <xdr:row>6</xdr:row>
      <xdr:rowOff>176979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1F58FC8-C9A0-477B-F06D-81FDEF39A664}"/>
            </a:ext>
          </a:extLst>
        </xdr:cNvPr>
        <xdr:cNvCxnSpPr>
          <a:stCxn id="14" idx="0"/>
          <a:endCxn id="19" idx="6"/>
        </xdr:cNvCxnSpPr>
      </xdr:nvCxnSpPr>
      <xdr:spPr>
        <a:xfrm flipH="1" flipV="1">
          <a:off x="8722178" y="505730"/>
          <a:ext cx="729796" cy="7870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626A-8324-4514-9CC6-85A51FD9BA33}">
  <dimension ref="A1:Q28"/>
  <sheetViews>
    <sheetView zoomScale="140" zoomScaleNormal="140" workbookViewId="0">
      <selection activeCell="B1" sqref="B1:O25"/>
    </sheetView>
  </sheetViews>
  <sheetFormatPr defaultColWidth="9.140625" defaultRowHeight="15" x14ac:dyDescent="0.25"/>
  <cols>
    <col min="1" max="1" width="5.85546875" style="12" customWidth="1"/>
    <col min="2" max="2" width="9.140625" style="12"/>
    <col min="3" max="3" width="15.5703125" style="12" bestFit="1" customWidth="1"/>
    <col min="4" max="4" width="2.7109375" style="12" customWidth="1"/>
    <col min="5" max="5" width="14" style="12" bestFit="1" customWidth="1"/>
    <col min="6" max="6" width="2.7109375" style="12" customWidth="1"/>
    <col min="7" max="7" width="17.28515625" style="12" bestFit="1" customWidth="1"/>
    <col min="8" max="8" width="2.7109375" style="12" customWidth="1"/>
    <col min="9" max="9" width="13.7109375" style="12" bestFit="1" customWidth="1"/>
    <col min="10" max="10" width="2.7109375" style="12" customWidth="1"/>
    <col min="11" max="11" width="23.5703125" style="12" bestFit="1" customWidth="1"/>
    <col min="12" max="12" width="2.7109375" style="12" customWidth="1"/>
    <col min="13" max="13" width="17.85546875" style="12" bestFit="1" customWidth="1"/>
    <col min="14" max="16384" width="9.140625" style="12"/>
  </cols>
  <sheetData>
    <row r="1" spans="1:14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13" customFormat="1" x14ac:dyDescent="0.25">
      <c r="B2" s="15"/>
      <c r="C2" s="15" t="s">
        <v>29</v>
      </c>
    </row>
    <row r="3" spans="1:14" s="13" customFormat="1" x14ac:dyDescent="0.25"/>
    <row r="4" spans="1:14" s="13" customFormat="1" x14ac:dyDescent="0.25"/>
    <row r="5" spans="1:14" s="13" customFormat="1" x14ac:dyDescent="0.25"/>
    <row r="6" spans="1:14" s="13" customFormat="1" x14ac:dyDescent="0.25"/>
    <row r="7" spans="1:14" s="13" customFormat="1" x14ac:dyDescent="0.25"/>
    <row r="8" spans="1:14" s="13" customFormat="1" x14ac:dyDescent="0.25"/>
    <row r="9" spans="1:14" s="13" customFormat="1" x14ac:dyDescent="0.25"/>
    <row r="10" spans="1:14" s="13" customFormat="1" x14ac:dyDescent="0.25"/>
    <row r="11" spans="1:14" s="13" customFormat="1" x14ac:dyDescent="0.25"/>
    <row r="12" spans="1:14" s="13" customFormat="1" x14ac:dyDescent="0.25"/>
    <row r="13" spans="1:14" s="13" customFormat="1" x14ac:dyDescent="0.25">
      <c r="G13" s="14"/>
      <c r="H13" s="14"/>
      <c r="I13" s="14"/>
      <c r="J13" s="14"/>
      <c r="K13" s="14"/>
      <c r="L13" s="14"/>
      <c r="M13" s="14"/>
    </row>
    <row r="14" spans="1:14" s="13" customFormat="1" x14ac:dyDescent="0.25">
      <c r="G14" s="14"/>
      <c r="H14" s="14"/>
      <c r="I14" s="14"/>
      <c r="J14" s="14"/>
      <c r="K14" s="14"/>
      <c r="L14" s="14"/>
      <c r="M14" s="14"/>
    </row>
    <row r="15" spans="1:14" s="13" customFormat="1" x14ac:dyDescent="0.25">
      <c r="C15" s="17" t="s">
        <v>88</v>
      </c>
      <c r="D15" s="15"/>
      <c r="E15" s="17" t="s">
        <v>86</v>
      </c>
      <c r="F15" s="15"/>
      <c r="G15" s="17" t="s">
        <v>87</v>
      </c>
      <c r="H15" s="16"/>
      <c r="I15" s="17" t="s">
        <v>89</v>
      </c>
      <c r="J15" s="16"/>
      <c r="K15" s="17" t="s">
        <v>90</v>
      </c>
      <c r="L15" s="17" t="s">
        <v>91</v>
      </c>
      <c r="M15" s="16"/>
      <c r="N15" s="15" t="s">
        <v>23</v>
      </c>
    </row>
    <row r="16" spans="1:14" s="13" customFormat="1" x14ac:dyDescent="0.25">
      <c r="E16" s="16"/>
      <c r="G16" s="17" t="s">
        <v>24</v>
      </c>
      <c r="H16" s="14"/>
      <c r="I16" s="14"/>
      <c r="J16" s="14"/>
      <c r="K16" s="14"/>
      <c r="L16" s="14"/>
      <c r="M16" s="16"/>
    </row>
    <row r="17" spans="1:17" s="13" customFormat="1" x14ac:dyDescent="0.25">
      <c r="E17" s="16"/>
      <c r="G17" s="17" t="s">
        <v>92</v>
      </c>
      <c r="H17" s="14"/>
      <c r="I17" s="14"/>
      <c r="J17" s="14"/>
      <c r="K17" s="14"/>
      <c r="L17" s="14"/>
      <c r="M17" s="14"/>
    </row>
    <row r="18" spans="1:17" s="13" customFormat="1" x14ac:dyDescent="0.25">
      <c r="G18" s="17" t="s">
        <v>93</v>
      </c>
      <c r="H18" s="14"/>
      <c r="I18" s="14"/>
      <c r="J18" s="14"/>
      <c r="K18" s="14"/>
      <c r="L18" s="14"/>
      <c r="M18" s="14"/>
    </row>
    <row r="19" spans="1:17" x14ac:dyDescent="0.25">
      <c r="A19" s="13"/>
      <c r="B19" s="13"/>
      <c r="C19" s="13"/>
      <c r="D19" s="13"/>
      <c r="E19" s="13"/>
      <c r="F19" s="13"/>
      <c r="G19" s="14"/>
      <c r="H19" s="14"/>
      <c r="I19" s="14"/>
      <c r="J19" s="14"/>
      <c r="K19" s="14"/>
      <c r="L19" s="14"/>
      <c r="M19" s="14"/>
      <c r="N19" s="13"/>
      <c r="O19" s="13"/>
      <c r="P19" s="13"/>
      <c r="Q19" s="13"/>
    </row>
    <row r="20" spans="1:17" x14ac:dyDescent="0.25">
      <c r="A20" s="13"/>
      <c r="B20" s="13"/>
      <c r="C20" s="13"/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3"/>
      <c r="O20" s="13"/>
      <c r="P20" s="13"/>
      <c r="Q20" s="13"/>
    </row>
    <row r="21" spans="1:17" x14ac:dyDescent="0.25">
      <c r="A21" s="13"/>
      <c r="B21" s="13"/>
      <c r="C21" s="13"/>
      <c r="D21" s="13"/>
      <c r="E21" s="13"/>
      <c r="F21" s="13"/>
      <c r="G21" s="14"/>
      <c r="H21" s="14"/>
      <c r="I21" s="14"/>
      <c r="J21" s="14"/>
      <c r="K21" s="14"/>
      <c r="L21" s="14"/>
      <c r="M21" s="14"/>
      <c r="N21" s="13"/>
      <c r="O21" s="13"/>
      <c r="P21" s="13"/>
      <c r="Q21" s="13"/>
    </row>
    <row r="22" spans="1:17" x14ac:dyDescent="0.25">
      <c r="A22" s="13"/>
      <c r="B22" s="13"/>
      <c r="C22" s="13"/>
      <c r="D22" s="13"/>
      <c r="E22" s="13"/>
      <c r="F22" s="13"/>
      <c r="G22" s="14"/>
      <c r="H22" s="14"/>
      <c r="I22" s="14"/>
      <c r="J22" s="14"/>
      <c r="K22" s="14"/>
      <c r="L22" s="14"/>
      <c r="M22" s="14"/>
      <c r="N22" s="13"/>
      <c r="O22" s="13"/>
      <c r="P22" s="13"/>
      <c r="Q22" s="13"/>
    </row>
    <row r="23" spans="1:17" x14ac:dyDescent="0.25">
      <c r="A23" s="13"/>
      <c r="B23" s="13"/>
      <c r="C23" s="13"/>
      <c r="D23" s="13"/>
      <c r="E23" s="13"/>
      <c r="F23" s="13"/>
      <c r="G23" s="14"/>
      <c r="H23" s="14"/>
      <c r="I23" s="14"/>
      <c r="J23" s="14"/>
      <c r="K23" s="14"/>
      <c r="L23" s="14"/>
      <c r="M23" s="14"/>
      <c r="N23" s="13"/>
      <c r="O23" s="13"/>
      <c r="P23" s="13"/>
      <c r="Q23" s="13"/>
    </row>
    <row r="24" spans="1:17" x14ac:dyDescent="0.25">
      <c r="A24" s="13"/>
      <c r="B24" s="13"/>
      <c r="C24" s="13"/>
      <c r="D24" s="13"/>
      <c r="E24" s="13"/>
      <c r="F24" s="13"/>
      <c r="G24" s="14"/>
      <c r="H24" s="14"/>
      <c r="I24" s="14"/>
      <c r="J24" s="14"/>
      <c r="K24" s="14"/>
      <c r="L24" s="14"/>
      <c r="M24" s="14"/>
      <c r="N24" s="13"/>
      <c r="O24" s="13"/>
      <c r="P24" s="13"/>
      <c r="Q24" s="13"/>
    </row>
    <row r="25" spans="1:1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8DB5-5886-4C3A-B27C-6B5349D8AD7D}">
  <sheetPr>
    <pageSetUpPr fitToPage="1"/>
  </sheetPr>
  <dimension ref="A1:H16"/>
  <sheetViews>
    <sheetView zoomScale="90" zoomScaleNormal="90" workbookViewId="0">
      <selection activeCell="C4" sqref="C4"/>
    </sheetView>
  </sheetViews>
  <sheetFormatPr defaultColWidth="9.140625" defaultRowHeight="15" x14ac:dyDescent="0.25"/>
  <cols>
    <col min="1" max="1" width="3.42578125" style="1" customWidth="1"/>
    <col min="2" max="2" width="22.42578125" style="2" customWidth="1"/>
    <col min="3" max="3" width="10" style="1" bestFit="1" customWidth="1"/>
    <col min="4" max="4" width="25.85546875" style="1" customWidth="1"/>
    <col min="5" max="5" width="10" style="1" bestFit="1" customWidth="1"/>
    <col min="6" max="6" width="25.28515625" style="1" customWidth="1"/>
    <col min="7" max="7" width="11.5703125" style="1" customWidth="1"/>
    <col min="8" max="8" width="5.85546875" style="1" customWidth="1"/>
    <col min="9" max="25" width="20.7109375" style="1" customWidth="1"/>
    <col min="26" max="16384" width="9.140625" style="1"/>
  </cols>
  <sheetData>
    <row r="1" spans="1:8" ht="24" customHeight="1" x14ac:dyDescent="0.25">
      <c r="A1" s="17"/>
      <c r="B1" s="37" t="s">
        <v>64</v>
      </c>
      <c r="C1" s="8"/>
      <c r="D1" s="8"/>
      <c r="E1" s="8"/>
      <c r="F1" s="8"/>
      <c r="G1" s="8"/>
      <c r="H1" s="8"/>
    </row>
    <row r="2" spans="1:8" x14ac:dyDescent="0.25">
      <c r="A2" s="8"/>
      <c r="B2" s="10"/>
      <c r="C2" s="8"/>
      <c r="D2" s="8"/>
      <c r="E2" s="8"/>
      <c r="F2" s="8"/>
      <c r="G2" s="8"/>
      <c r="H2" s="8"/>
    </row>
    <row r="3" spans="1:8" x14ac:dyDescent="0.25">
      <c r="A3" s="8"/>
      <c r="B3" s="4" t="s">
        <v>2</v>
      </c>
      <c r="C3" s="5" t="s">
        <v>3</v>
      </c>
      <c r="D3" s="5" t="s">
        <v>4</v>
      </c>
      <c r="E3" s="5" t="s">
        <v>3</v>
      </c>
      <c r="F3" s="5" t="s">
        <v>8</v>
      </c>
      <c r="G3" s="5" t="s">
        <v>3</v>
      </c>
      <c r="H3" s="8"/>
    </row>
    <row r="4" spans="1:8" ht="60" x14ac:dyDescent="0.25">
      <c r="A4" s="8"/>
      <c r="B4" s="6" t="s">
        <v>31</v>
      </c>
      <c r="C4" s="3" t="s">
        <v>0</v>
      </c>
      <c r="D4" s="6" t="s">
        <v>14</v>
      </c>
      <c r="E4" s="3" t="s">
        <v>25</v>
      </c>
      <c r="F4" s="6" t="s">
        <v>5</v>
      </c>
      <c r="G4" s="3" t="s">
        <v>103</v>
      </c>
      <c r="H4" s="8"/>
    </row>
    <row r="5" spans="1:8" ht="90" x14ac:dyDescent="0.25">
      <c r="A5" s="8"/>
      <c r="B5" s="6" t="s">
        <v>45</v>
      </c>
      <c r="C5" s="3" t="s">
        <v>1</v>
      </c>
      <c r="D5" s="6" t="s">
        <v>15</v>
      </c>
      <c r="E5" s="3" t="s">
        <v>85</v>
      </c>
      <c r="F5" s="6" t="s">
        <v>6</v>
      </c>
      <c r="G5" s="3" t="s">
        <v>104</v>
      </c>
      <c r="H5" s="8"/>
    </row>
    <row r="6" spans="1:8" ht="60" x14ac:dyDescent="0.25">
      <c r="A6" s="8"/>
      <c r="B6" s="6" t="s">
        <v>94</v>
      </c>
      <c r="C6" s="3" t="s">
        <v>1</v>
      </c>
      <c r="D6" s="6" t="s">
        <v>96</v>
      </c>
      <c r="E6" s="3" t="s">
        <v>0</v>
      </c>
      <c r="F6" s="6" t="s">
        <v>7</v>
      </c>
      <c r="G6" s="3" t="s">
        <v>0</v>
      </c>
      <c r="H6" s="8"/>
    </row>
    <row r="7" spans="1:8" ht="60" x14ac:dyDescent="0.25">
      <c r="A7" s="8"/>
      <c r="B7" s="6" t="s">
        <v>10</v>
      </c>
      <c r="C7" s="3" t="s">
        <v>0</v>
      </c>
      <c r="D7" s="6" t="s">
        <v>16</v>
      </c>
      <c r="E7" s="3" t="s">
        <v>101</v>
      </c>
      <c r="F7" s="6" t="s">
        <v>18</v>
      </c>
      <c r="G7" s="3" t="s">
        <v>105</v>
      </c>
      <c r="H7" s="8"/>
    </row>
    <row r="8" spans="1:8" ht="64.5" customHeight="1" x14ac:dyDescent="0.25">
      <c r="A8" s="8"/>
      <c r="B8" s="6" t="s">
        <v>95</v>
      </c>
      <c r="C8" s="3" t="s">
        <v>83</v>
      </c>
      <c r="D8" s="6" t="s">
        <v>17</v>
      </c>
      <c r="E8" s="3" t="s">
        <v>102</v>
      </c>
      <c r="F8" s="6" t="s">
        <v>9</v>
      </c>
      <c r="G8" s="3" t="s">
        <v>106</v>
      </c>
      <c r="H8" s="8"/>
    </row>
    <row r="9" spans="1:8" ht="60" x14ac:dyDescent="0.25">
      <c r="A9" s="8"/>
      <c r="B9" s="6" t="s">
        <v>13</v>
      </c>
      <c r="C9" s="3" t="s">
        <v>84</v>
      </c>
      <c r="D9" s="7"/>
      <c r="E9" s="7"/>
      <c r="F9" s="6" t="s">
        <v>20</v>
      </c>
      <c r="G9" s="3" t="s">
        <v>0</v>
      </c>
      <c r="H9" s="8"/>
    </row>
    <row r="10" spans="1:8" ht="60" x14ac:dyDescent="0.25">
      <c r="A10" s="8"/>
      <c r="B10" s="6" t="s">
        <v>12</v>
      </c>
      <c r="C10" s="3" t="s">
        <v>84</v>
      </c>
      <c r="D10" s="7"/>
      <c r="E10" s="7"/>
      <c r="F10" s="6" t="s">
        <v>19</v>
      </c>
      <c r="G10" s="3" t="s">
        <v>1</v>
      </c>
      <c r="H10" s="8"/>
    </row>
    <row r="11" spans="1:8" ht="60" x14ac:dyDescent="0.25">
      <c r="A11" s="8"/>
      <c r="B11" s="6" t="s">
        <v>98</v>
      </c>
      <c r="C11" s="3" t="s">
        <v>0</v>
      </c>
      <c r="D11" s="7"/>
      <c r="E11" s="7"/>
      <c r="F11" s="6" t="s">
        <v>21</v>
      </c>
      <c r="G11" s="3" t="s">
        <v>0</v>
      </c>
      <c r="H11" s="8"/>
    </row>
    <row r="12" spans="1:8" ht="45" x14ac:dyDescent="0.25">
      <c r="A12" s="8"/>
      <c r="B12" s="6" t="s">
        <v>11</v>
      </c>
      <c r="C12" s="3" t="s">
        <v>1</v>
      </c>
      <c r="D12" s="7"/>
      <c r="E12" s="7"/>
      <c r="F12" s="7"/>
      <c r="G12" s="7"/>
      <c r="H12" s="8"/>
    </row>
    <row r="13" spans="1:8" x14ac:dyDescent="0.25">
      <c r="A13" s="8"/>
      <c r="B13" s="10"/>
      <c r="C13" s="8"/>
      <c r="D13" s="8"/>
      <c r="E13" s="8"/>
      <c r="F13" s="8"/>
      <c r="G13" s="8"/>
      <c r="H13" s="8"/>
    </row>
    <row r="14" spans="1:8" x14ac:dyDescent="0.25">
      <c r="A14" s="8"/>
      <c r="B14" s="9" t="s">
        <v>22</v>
      </c>
      <c r="C14" s="11" t="s">
        <v>65</v>
      </c>
      <c r="D14" s="8"/>
      <c r="E14" s="8"/>
      <c r="F14" s="8"/>
      <c r="G14" s="8"/>
      <c r="H14" s="8"/>
    </row>
    <row r="15" spans="1:8" x14ac:dyDescent="0.25">
      <c r="A15" s="9"/>
      <c r="B15" s="11"/>
      <c r="C15" s="8"/>
      <c r="D15" s="8"/>
      <c r="E15" s="8"/>
      <c r="F15" s="8"/>
      <c r="G15" s="8"/>
      <c r="H15" s="8"/>
    </row>
    <row r="16" spans="1:8" x14ac:dyDescent="0.25">
      <c r="A16" s="8"/>
      <c r="B16" s="10"/>
      <c r="C16" s="8"/>
      <c r="D16" s="8"/>
      <c r="E16" s="8"/>
      <c r="F16" s="8"/>
      <c r="G16" s="8"/>
      <c r="H16" s="8"/>
    </row>
  </sheetData>
  <dataValidations count="11">
    <dataValidation type="list" allowBlank="1" showInputMessage="1" showErrorMessage="1" sqref="C4:C7 C11:C12 G6 E6 G9:G11" xr:uid="{EC76748A-EB7C-48D2-B345-DFA15010B36F}">
      <formula1>"Yes,No"</formula1>
    </dataValidation>
    <dataValidation type="list" allowBlank="1" showInputMessage="1" showErrorMessage="1" sqref="C8" xr:uid="{61E74B9A-4B47-410D-9EC1-084D54050BB3}">
      <formula1>"Tether,Selfcontained"</formula1>
    </dataValidation>
    <dataValidation type="list" allowBlank="1" showInputMessage="1" showErrorMessage="1" sqref="C9:C10" xr:uid="{E8B638E4-ECF8-4C5D-AD33-587C2575B0E6}">
      <formula1>"Onboard,TruTether"</formula1>
    </dataValidation>
    <dataValidation type="list" allowBlank="1" showInputMessage="1" showErrorMessage="1" sqref="E4" xr:uid="{C0C0F85C-D298-446C-8F68-786260CF195E}">
      <formula1>"SWselfcontained,Laptop"</formula1>
    </dataValidation>
    <dataValidation type="list" allowBlank="1" showInputMessage="1" showErrorMessage="1" sqref="E5" xr:uid="{1E0A690A-46A6-42C7-9B35-EF0D7536D35F}">
      <formula1>"Custom,Generic"</formula1>
    </dataValidation>
    <dataValidation type="list" allowBlank="1" showInputMessage="1" showErrorMessage="1" sqref="E7" xr:uid="{ADC99F50-28A8-4152-85F3-68B111871A83}">
      <formula1>"Live view, Recording"</formula1>
    </dataValidation>
    <dataValidation type="list" allowBlank="1" showInputMessage="1" showErrorMessage="1" sqref="E8" xr:uid="{A37A47FE-24E6-483C-B17E-BA47C90F8DAB}">
      <formula1>"Live, Post"</formula1>
    </dataValidation>
    <dataValidation type="list" allowBlank="1" showInputMessage="1" showErrorMessage="1" sqref="G4" xr:uid="{88BEA53E-1E44-4186-9ED6-40372CFA8BF1}">
      <formula1>"&lt;500mm,500-2000mm,&gt;2000mm"</formula1>
    </dataValidation>
    <dataValidation type="list" allowBlank="1" showInputMessage="1" showErrorMessage="1" sqref="G5" xr:uid="{3A024FD8-A07F-4178-928B-62F7EC1C0E2E}">
      <formula1>"&lt;5m,5-20m,&gt;20m"</formula1>
    </dataValidation>
    <dataValidation type="list" allowBlank="1" showInputMessage="1" showErrorMessage="1" sqref="G8" xr:uid="{FD738166-07E2-40E1-B279-49D747546B67}">
      <formula1>"+/-1mm,1cm,1m"</formula1>
    </dataValidation>
    <dataValidation type="list" allowBlank="1" showInputMessage="1" showErrorMessage="1" sqref="G7" xr:uid="{94E8E749-DE22-461F-9BC7-F09B6B73EEEA}">
      <formula1>"Positive,Negative,Neutral"</formula1>
    </dataValidation>
  </dataValidations>
  <pageMargins left="0.7" right="0.7" top="0.75" bottom="0.75" header="0.3" footer="0.3"/>
  <pageSetup paperSize="9" scale="78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FC1E-9EA2-493B-9E46-34158DC98FED}">
  <dimension ref="A1:H13"/>
  <sheetViews>
    <sheetView zoomScale="90" zoomScaleNormal="90" workbookViewId="0">
      <selection sqref="A1:H13"/>
    </sheetView>
  </sheetViews>
  <sheetFormatPr defaultColWidth="9.140625" defaultRowHeight="15" x14ac:dyDescent="0.25"/>
  <cols>
    <col min="1" max="1" width="9.85546875" style="12" customWidth="1"/>
    <col min="2" max="2" width="30.140625" style="12" bestFit="1" customWidth="1"/>
    <col min="3" max="3" width="10" style="12" bestFit="1" customWidth="1"/>
    <col min="4" max="4" width="22.5703125" style="12" customWidth="1"/>
    <col min="5" max="5" width="10" style="12" bestFit="1" customWidth="1"/>
    <col min="6" max="6" width="27.5703125" style="12" customWidth="1"/>
    <col min="7" max="7" width="10" style="12" bestFit="1" customWidth="1"/>
    <col min="8" max="16384" width="9.140625" style="12"/>
  </cols>
  <sheetData>
    <row r="1" spans="1:8" ht="37.5" customHeight="1" x14ac:dyDescent="0.25">
      <c r="A1" s="15"/>
      <c r="B1" s="31" t="s">
        <v>28</v>
      </c>
      <c r="C1" s="13"/>
      <c r="D1" s="13"/>
      <c r="E1" s="13"/>
      <c r="F1" s="13"/>
      <c r="G1" s="13"/>
      <c r="H1" s="13"/>
    </row>
    <row r="2" spans="1:8" x14ac:dyDescent="0.25">
      <c r="A2" s="13"/>
      <c r="B2" s="13"/>
      <c r="C2" s="13"/>
      <c r="D2" s="13"/>
      <c r="E2" s="13"/>
      <c r="F2" s="13"/>
      <c r="G2" s="13"/>
      <c r="H2" s="13"/>
    </row>
    <row r="3" spans="1:8" x14ac:dyDescent="0.25">
      <c r="A3" s="13"/>
      <c r="B3" s="4" t="s">
        <v>2</v>
      </c>
      <c r="C3" s="5" t="s">
        <v>3</v>
      </c>
      <c r="D3" s="5" t="s">
        <v>4</v>
      </c>
      <c r="E3" s="5" t="s">
        <v>3</v>
      </c>
      <c r="F3" s="5" t="s">
        <v>8</v>
      </c>
      <c r="G3" s="5" t="s">
        <v>3</v>
      </c>
      <c r="H3" s="13"/>
    </row>
    <row r="4" spans="1:8" ht="75" x14ac:dyDescent="0.25">
      <c r="A4" s="13"/>
      <c r="B4" s="6" t="s">
        <v>31</v>
      </c>
      <c r="C4" s="3" t="str">
        <f>('1 Questionnaire 2 Choices'!C4)</f>
        <v>Yes</v>
      </c>
      <c r="D4" s="6" t="s">
        <v>14</v>
      </c>
      <c r="E4" s="3" t="str">
        <f>('1 Questionnaire 2 Choices'!E4)</f>
        <v>Laptop</v>
      </c>
      <c r="F4" s="6" t="s">
        <v>5</v>
      </c>
      <c r="G4" s="3" t="str">
        <f>('1 Questionnaire 2 Choices'!G4)</f>
        <v>500-2000mm</v>
      </c>
      <c r="H4" s="13"/>
    </row>
    <row r="5" spans="1:8" ht="60" x14ac:dyDescent="0.25">
      <c r="A5" s="13"/>
      <c r="B5" s="6" t="s">
        <v>45</v>
      </c>
      <c r="C5" s="3" t="str">
        <f>('1 Questionnaire 2 Choices'!C5)</f>
        <v>No</v>
      </c>
      <c r="D5" s="6" t="s">
        <v>15</v>
      </c>
      <c r="E5" s="3" t="str">
        <f>('1 Questionnaire 2 Choices'!E5)</f>
        <v>Custom</v>
      </c>
      <c r="F5" s="6" t="s">
        <v>6</v>
      </c>
      <c r="G5" s="3" t="str">
        <f>('1 Questionnaire 2 Choices'!G5)</f>
        <v>5-20m</v>
      </c>
      <c r="H5" s="13"/>
    </row>
    <row r="6" spans="1:8" ht="60" x14ac:dyDescent="0.25">
      <c r="A6" s="13"/>
      <c r="B6" s="6" t="s">
        <v>94</v>
      </c>
      <c r="C6" s="3" t="str">
        <f>('1 Questionnaire 2 Choices'!C6)</f>
        <v>No</v>
      </c>
      <c r="D6" s="6" t="s">
        <v>96</v>
      </c>
      <c r="E6" s="3" t="str">
        <f>('1 Questionnaire 2 Choices'!E6)</f>
        <v>Yes</v>
      </c>
      <c r="F6" s="6" t="s">
        <v>7</v>
      </c>
      <c r="G6" s="3" t="str">
        <f>('1 Questionnaire 2 Choices'!G6)</f>
        <v>Yes</v>
      </c>
      <c r="H6" s="13"/>
    </row>
    <row r="7" spans="1:8" ht="60" x14ac:dyDescent="0.25">
      <c r="A7" s="13"/>
      <c r="B7" s="6" t="s">
        <v>10</v>
      </c>
      <c r="C7" s="3" t="str">
        <f>('1 Questionnaire 2 Choices'!C7)</f>
        <v>Yes</v>
      </c>
      <c r="D7" s="6" t="s">
        <v>16</v>
      </c>
      <c r="E7" s="3" t="str">
        <f>('1 Questionnaire 2 Choices'!E7)</f>
        <v>Live view</v>
      </c>
      <c r="F7" s="6" t="s">
        <v>18</v>
      </c>
      <c r="G7" s="3" t="str">
        <f>('1 Questionnaire 2 Choices'!G7)</f>
        <v>Neutral</v>
      </c>
      <c r="H7" s="13"/>
    </row>
    <row r="8" spans="1:8" ht="45" x14ac:dyDescent="0.25">
      <c r="A8" s="13"/>
      <c r="B8" s="6" t="s">
        <v>95</v>
      </c>
      <c r="C8" s="3" t="str">
        <f>('1 Questionnaire 2 Choices'!C8)</f>
        <v>Selfcontained</v>
      </c>
      <c r="D8" s="6" t="s">
        <v>17</v>
      </c>
      <c r="E8" s="3" t="str">
        <f>('1 Questionnaire 2 Choices'!E8)</f>
        <v>Live</v>
      </c>
      <c r="F8" s="6" t="s">
        <v>9</v>
      </c>
      <c r="G8" s="3" t="str">
        <f>('1 Questionnaire 2 Choices'!G8)</f>
        <v>1cm</v>
      </c>
      <c r="H8" s="13"/>
    </row>
    <row r="9" spans="1:8" ht="45" x14ac:dyDescent="0.25">
      <c r="A9" s="13"/>
      <c r="B9" s="6" t="s">
        <v>13</v>
      </c>
      <c r="C9" s="3" t="str">
        <f>('1 Questionnaire 2 Choices'!C9)</f>
        <v>Onboard</v>
      </c>
      <c r="D9" s="7"/>
      <c r="E9" s="7"/>
      <c r="F9" s="6" t="s">
        <v>20</v>
      </c>
      <c r="G9" s="3" t="str">
        <f>('1 Questionnaire 2 Choices'!G9)</f>
        <v>Yes</v>
      </c>
      <c r="H9" s="13"/>
    </row>
    <row r="10" spans="1:8" ht="45" x14ac:dyDescent="0.25">
      <c r="A10" s="13"/>
      <c r="B10" s="6" t="s">
        <v>12</v>
      </c>
      <c r="C10" s="3" t="str">
        <f>('1 Questionnaire 2 Choices'!C10)</f>
        <v>Onboard</v>
      </c>
      <c r="D10" s="7"/>
      <c r="E10" s="7"/>
      <c r="F10" s="6" t="s">
        <v>19</v>
      </c>
      <c r="G10" s="3" t="str">
        <f>('1 Questionnaire 2 Choices'!G10)</f>
        <v>No</v>
      </c>
      <c r="H10" s="13"/>
    </row>
    <row r="11" spans="1:8" ht="45" x14ac:dyDescent="0.25">
      <c r="A11" s="13"/>
      <c r="B11" s="6" t="s">
        <v>100</v>
      </c>
      <c r="C11" s="3" t="str">
        <f>('1 Questionnaire 2 Choices'!C11)</f>
        <v>Yes</v>
      </c>
      <c r="D11" s="7"/>
      <c r="E11" s="7"/>
      <c r="F11" s="6" t="s">
        <v>21</v>
      </c>
      <c r="G11" s="3" t="str">
        <f>('1 Questionnaire 2 Choices'!G11)</f>
        <v>Yes</v>
      </c>
      <c r="H11" s="13"/>
    </row>
    <row r="12" spans="1:8" ht="30" x14ac:dyDescent="0.25">
      <c r="A12" s="13"/>
      <c r="B12" s="6" t="s">
        <v>11</v>
      </c>
      <c r="C12" s="3" t="str">
        <f>('1 Questionnaire 2 Choices'!C12)</f>
        <v>No</v>
      </c>
      <c r="D12" s="7"/>
      <c r="E12" s="7"/>
      <c r="F12" s="7"/>
      <c r="G12" s="7"/>
      <c r="H12" s="13"/>
    </row>
    <row r="13" spans="1:8" x14ac:dyDescent="0.25">
      <c r="A13" s="13"/>
      <c r="B13" s="13"/>
      <c r="C13" s="13"/>
      <c r="D13" s="13"/>
      <c r="E13" s="13"/>
      <c r="F13" s="13"/>
      <c r="G13" s="13"/>
      <c r="H13" s="13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8CEF-7C57-405C-8648-FF5F34F439C4}">
  <dimension ref="A1:H29"/>
  <sheetViews>
    <sheetView zoomScale="70" zoomScaleNormal="70" workbookViewId="0">
      <selection activeCell="G6" sqref="G6"/>
    </sheetView>
  </sheetViews>
  <sheetFormatPr defaultColWidth="9.140625" defaultRowHeight="15" x14ac:dyDescent="0.25"/>
  <cols>
    <col min="1" max="1" width="3.140625" style="13" customWidth="1"/>
    <col min="2" max="2" width="46.42578125" style="12" customWidth="1"/>
    <col min="3" max="3" width="3.140625" style="12" customWidth="1"/>
    <col min="4" max="4" width="24.140625" style="12" customWidth="1"/>
    <col min="5" max="5" width="17.42578125" style="12" customWidth="1"/>
    <col min="6" max="6" width="65" style="12" bestFit="1" customWidth="1"/>
    <col min="7" max="7" width="18.5703125" style="12" customWidth="1"/>
    <col min="8" max="16384" width="9.140625" style="12"/>
  </cols>
  <sheetData>
    <row r="1" spans="1:8" ht="28.5" x14ac:dyDescent="0.25">
      <c r="A1" s="15" t="s">
        <v>30</v>
      </c>
      <c r="B1" s="13"/>
      <c r="C1" s="13"/>
      <c r="D1" s="13"/>
      <c r="F1" s="13"/>
      <c r="H1" s="18" t="s">
        <v>27</v>
      </c>
    </row>
    <row r="2" spans="1:8" x14ac:dyDescent="0.25">
      <c r="A2" s="15"/>
      <c r="B2" s="13"/>
      <c r="C2" s="13"/>
      <c r="D2" s="13"/>
      <c r="E2" s="13"/>
      <c r="F2" s="13"/>
      <c r="G2" s="13"/>
      <c r="H2" s="13"/>
    </row>
    <row r="3" spans="1:8" x14ac:dyDescent="0.25">
      <c r="B3" s="4" t="s">
        <v>2</v>
      </c>
      <c r="C3" s="27"/>
      <c r="D3" s="19" t="s">
        <v>42</v>
      </c>
      <c r="E3" s="19" t="s">
        <v>41</v>
      </c>
      <c r="F3" s="19" t="s">
        <v>26</v>
      </c>
      <c r="G3" s="19" t="s">
        <v>44</v>
      </c>
      <c r="H3" s="13"/>
    </row>
    <row r="4" spans="1:8" ht="30" x14ac:dyDescent="0.25">
      <c r="B4" s="6" t="s">
        <v>31</v>
      </c>
      <c r="C4" s="27"/>
      <c r="D4" s="20" t="s">
        <v>37</v>
      </c>
      <c r="E4" s="21" t="str">
        <f>('Decision outcomes'!C4)</f>
        <v>Yes</v>
      </c>
      <c r="F4" s="21" t="s">
        <v>50</v>
      </c>
      <c r="G4" s="21" t="s">
        <v>1</v>
      </c>
      <c r="H4" s="13"/>
    </row>
    <row r="5" spans="1:8" ht="60" x14ac:dyDescent="0.25">
      <c r="B5" s="6" t="s">
        <v>45</v>
      </c>
      <c r="C5" s="27"/>
      <c r="D5" s="20" t="s">
        <v>37</v>
      </c>
      <c r="E5" s="21" t="str">
        <f>('Decision outcomes'!C5)</f>
        <v>No</v>
      </c>
      <c r="F5" s="21" t="s">
        <v>46</v>
      </c>
      <c r="G5" s="21" t="s">
        <v>0</v>
      </c>
      <c r="H5" s="13"/>
    </row>
    <row r="6" spans="1:8" ht="30" x14ac:dyDescent="0.25">
      <c r="B6" s="6" t="s">
        <v>94</v>
      </c>
      <c r="C6" s="27"/>
      <c r="D6" s="22" t="s">
        <v>39</v>
      </c>
      <c r="E6" s="21" t="str">
        <f>('Decision outcomes'!C6)</f>
        <v>No</v>
      </c>
      <c r="F6" s="21" t="s">
        <v>47</v>
      </c>
      <c r="G6" s="21" t="s">
        <v>1</v>
      </c>
      <c r="H6" s="13"/>
    </row>
    <row r="7" spans="1:8" ht="30" x14ac:dyDescent="0.25">
      <c r="B7" s="6" t="s">
        <v>10</v>
      </c>
      <c r="C7" s="27"/>
      <c r="D7" s="22" t="s">
        <v>39</v>
      </c>
      <c r="E7" s="21" t="str">
        <f>('Decision outcomes'!C7)</f>
        <v>Yes</v>
      </c>
      <c r="F7" s="21" t="s">
        <v>52</v>
      </c>
      <c r="G7" s="21" t="s">
        <v>0</v>
      </c>
      <c r="H7" s="13"/>
    </row>
    <row r="8" spans="1:8" ht="45" x14ac:dyDescent="0.25">
      <c r="B8" s="6" t="s">
        <v>95</v>
      </c>
      <c r="C8" s="27"/>
      <c r="D8" s="23" t="s">
        <v>36</v>
      </c>
      <c r="E8" s="21" t="str">
        <f>('Decision outcomes'!C8)</f>
        <v>Selfcontained</v>
      </c>
      <c r="F8" s="24" t="s">
        <v>58</v>
      </c>
      <c r="G8" s="21" t="s">
        <v>48</v>
      </c>
      <c r="H8" s="13"/>
    </row>
    <row r="9" spans="1:8" ht="30" x14ac:dyDescent="0.25">
      <c r="B9" s="6" t="s">
        <v>13</v>
      </c>
      <c r="C9" s="27"/>
      <c r="D9" s="23" t="s">
        <v>36</v>
      </c>
      <c r="E9" s="21" t="str">
        <f>('Decision outcomes'!C9)</f>
        <v>Onboard</v>
      </c>
      <c r="F9" s="24" t="s">
        <v>59</v>
      </c>
      <c r="G9" s="21" t="s">
        <v>48</v>
      </c>
      <c r="H9" s="13"/>
    </row>
    <row r="10" spans="1:8" ht="30" x14ac:dyDescent="0.25">
      <c r="B10" s="6" t="s">
        <v>12</v>
      </c>
      <c r="C10" s="27"/>
      <c r="D10" s="25" t="s">
        <v>35</v>
      </c>
      <c r="E10" s="21" t="str">
        <f>('Decision outcomes'!C10)</f>
        <v>Onboard</v>
      </c>
      <c r="F10" s="24" t="s">
        <v>53</v>
      </c>
      <c r="G10" s="21" t="s">
        <v>48</v>
      </c>
      <c r="H10" s="13"/>
    </row>
    <row r="11" spans="1:8" ht="30" x14ac:dyDescent="0.25">
      <c r="B11" s="6" t="s">
        <v>98</v>
      </c>
      <c r="C11" s="27"/>
      <c r="D11" s="22" t="s">
        <v>39</v>
      </c>
      <c r="E11" s="21" t="str">
        <f>('Decision outcomes'!C11)</f>
        <v>Yes</v>
      </c>
      <c r="F11" s="24" t="s">
        <v>99</v>
      </c>
      <c r="G11" s="21" t="s">
        <v>0</v>
      </c>
      <c r="H11" s="13"/>
    </row>
    <row r="12" spans="1:8" ht="30" x14ac:dyDescent="0.25">
      <c r="B12" s="6" t="s">
        <v>11</v>
      </c>
      <c r="C12" s="27"/>
      <c r="D12" s="22" t="s">
        <v>39</v>
      </c>
      <c r="E12" s="21" t="str">
        <f>('Decision outcomes'!C12)</f>
        <v>No</v>
      </c>
      <c r="F12" s="24" t="s">
        <v>40</v>
      </c>
      <c r="G12" s="21" t="s">
        <v>0</v>
      </c>
      <c r="H12" s="13"/>
    </row>
    <row r="13" spans="1:8" x14ac:dyDescent="0.25">
      <c r="B13" s="5" t="s">
        <v>4</v>
      </c>
      <c r="C13" s="27"/>
      <c r="D13" s="28"/>
      <c r="E13" s="28"/>
      <c r="F13" s="28"/>
      <c r="G13" s="28"/>
      <c r="H13" s="13"/>
    </row>
    <row r="14" spans="1:8" ht="30" x14ac:dyDescent="0.25">
      <c r="B14" s="6" t="s">
        <v>14</v>
      </c>
      <c r="C14" s="27"/>
      <c r="D14" s="25" t="s">
        <v>35</v>
      </c>
      <c r="E14" s="21" t="str">
        <f>('Decision outcomes'!E4)</f>
        <v>Laptop</v>
      </c>
      <c r="F14" s="24" t="s">
        <v>34</v>
      </c>
      <c r="G14" s="21" t="s">
        <v>25</v>
      </c>
      <c r="H14" s="13"/>
    </row>
    <row r="15" spans="1:8" ht="30" x14ac:dyDescent="0.25">
      <c r="B15" s="6" t="s">
        <v>15</v>
      </c>
      <c r="C15" s="27"/>
      <c r="D15" s="25" t="s">
        <v>35</v>
      </c>
      <c r="E15" s="21" t="str">
        <f>('Decision outcomes'!E5)</f>
        <v>Custom</v>
      </c>
      <c r="F15" s="24" t="s">
        <v>54</v>
      </c>
      <c r="G15" s="21" t="s">
        <v>48</v>
      </c>
      <c r="H15" s="13"/>
    </row>
    <row r="16" spans="1:8" ht="45" x14ac:dyDescent="0.25">
      <c r="B16" s="6" t="s">
        <v>97</v>
      </c>
      <c r="C16" s="27"/>
      <c r="D16" s="25" t="s">
        <v>35</v>
      </c>
      <c r="E16" s="21" t="str">
        <f>('Decision outcomes'!E6)</f>
        <v>Yes</v>
      </c>
      <c r="F16" s="24" t="s">
        <v>43</v>
      </c>
      <c r="G16" s="21" t="s">
        <v>1</v>
      </c>
      <c r="H16" s="13"/>
    </row>
    <row r="17" spans="2:8" ht="30" x14ac:dyDescent="0.25">
      <c r="B17" s="6" t="s">
        <v>16</v>
      </c>
      <c r="C17" s="27"/>
      <c r="D17" s="25" t="s">
        <v>35</v>
      </c>
      <c r="E17" s="21" t="str">
        <f>('Decision outcomes'!E7)</f>
        <v>Live view</v>
      </c>
      <c r="F17" s="24" t="s">
        <v>55</v>
      </c>
      <c r="G17" s="21" t="s">
        <v>48</v>
      </c>
      <c r="H17" s="13"/>
    </row>
    <row r="18" spans="2:8" ht="30" x14ac:dyDescent="0.25">
      <c r="B18" s="6" t="s">
        <v>17</v>
      </c>
      <c r="C18" s="27"/>
      <c r="D18" s="25" t="s">
        <v>35</v>
      </c>
      <c r="E18" s="21" t="str">
        <f>('Decision outcomes'!E8)</f>
        <v>Live</v>
      </c>
      <c r="F18" s="24" t="s">
        <v>56</v>
      </c>
      <c r="G18" s="21" t="s">
        <v>48</v>
      </c>
      <c r="H18" s="13"/>
    </row>
    <row r="19" spans="2:8" x14ac:dyDescent="0.25">
      <c r="B19" s="5" t="s">
        <v>8</v>
      </c>
      <c r="C19" s="27"/>
      <c r="D19" s="28"/>
      <c r="E19" s="28"/>
      <c r="F19" s="28"/>
      <c r="G19" s="28"/>
      <c r="H19" s="13"/>
    </row>
    <row r="20" spans="2:8" ht="30" x14ac:dyDescent="0.25">
      <c r="B20" s="6" t="s">
        <v>5</v>
      </c>
      <c r="C20" s="27"/>
      <c r="D20" s="23" t="s">
        <v>36</v>
      </c>
      <c r="E20" s="21" t="str">
        <f>('Decision outcomes'!G4)</f>
        <v>500-2000mm</v>
      </c>
      <c r="F20" s="24" t="s">
        <v>60</v>
      </c>
      <c r="G20" s="21" t="s">
        <v>48</v>
      </c>
      <c r="H20" s="13"/>
    </row>
    <row r="21" spans="2:8" ht="30" x14ac:dyDescent="0.25">
      <c r="B21" s="6" t="s">
        <v>6</v>
      </c>
      <c r="C21" s="27"/>
      <c r="D21" s="23" t="s">
        <v>36</v>
      </c>
      <c r="E21" s="21" t="str">
        <f>('Decision outcomes'!G5)</f>
        <v>5-20m</v>
      </c>
      <c r="F21" s="24" t="s">
        <v>62</v>
      </c>
      <c r="G21" s="21" t="s">
        <v>48</v>
      </c>
      <c r="H21" s="13"/>
    </row>
    <row r="22" spans="2:8" ht="30" x14ac:dyDescent="0.25">
      <c r="B22" s="6" t="s">
        <v>7</v>
      </c>
      <c r="C22" s="27"/>
      <c r="D22" s="23" t="s">
        <v>36</v>
      </c>
      <c r="E22" s="21" t="str">
        <f>('Decision outcomes'!G6)</f>
        <v>Yes</v>
      </c>
      <c r="F22" s="24" t="s">
        <v>61</v>
      </c>
      <c r="G22" s="21" t="s">
        <v>48</v>
      </c>
      <c r="H22" s="13"/>
    </row>
    <row r="23" spans="2:8" ht="45" x14ac:dyDescent="0.25">
      <c r="B23" s="6" t="s">
        <v>18</v>
      </c>
      <c r="C23" s="27"/>
      <c r="D23" s="23" t="s">
        <v>36</v>
      </c>
      <c r="E23" s="21" t="str">
        <f>('Decision outcomes'!G7)</f>
        <v>Neutral</v>
      </c>
      <c r="F23" s="24" t="s">
        <v>63</v>
      </c>
      <c r="G23" s="21" t="s">
        <v>48</v>
      </c>
      <c r="H23" s="13"/>
    </row>
    <row r="24" spans="2:8" ht="30" x14ac:dyDescent="0.25">
      <c r="B24" s="6" t="s">
        <v>9</v>
      </c>
      <c r="C24" s="27"/>
      <c r="D24" s="25" t="s">
        <v>35</v>
      </c>
      <c r="E24" s="21" t="str">
        <f>('Decision outcomes'!G8)</f>
        <v>1cm</v>
      </c>
      <c r="F24" s="24" t="s">
        <v>57</v>
      </c>
      <c r="G24" s="21" t="s">
        <v>48</v>
      </c>
      <c r="H24" s="13"/>
    </row>
    <row r="25" spans="2:8" ht="30" x14ac:dyDescent="0.25">
      <c r="B25" s="6" t="s">
        <v>20</v>
      </c>
      <c r="C25" s="27"/>
      <c r="D25" s="20" t="s">
        <v>37</v>
      </c>
      <c r="E25" s="21" t="str">
        <f>('Decision outcomes'!G9)</f>
        <v>Yes</v>
      </c>
      <c r="F25" s="24" t="s">
        <v>51</v>
      </c>
      <c r="G25" s="21" t="s">
        <v>48</v>
      </c>
      <c r="H25" s="13"/>
    </row>
    <row r="26" spans="2:8" ht="30" x14ac:dyDescent="0.25">
      <c r="B26" s="6" t="s">
        <v>19</v>
      </c>
      <c r="C26" s="27"/>
      <c r="D26" s="23" t="s">
        <v>36</v>
      </c>
      <c r="E26" s="21" t="str">
        <f>('Decision outcomes'!G10)</f>
        <v>No</v>
      </c>
      <c r="F26" s="24" t="s">
        <v>33</v>
      </c>
      <c r="G26" s="21" t="s">
        <v>0</v>
      </c>
      <c r="H26" s="13"/>
    </row>
    <row r="27" spans="2:8" ht="30" x14ac:dyDescent="0.25">
      <c r="B27" s="6" t="s">
        <v>21</v>
      </c>
      <c r="C27" s="27"/>
      <c r="D27" s="26" t="s">
        <v>38</v>
      </c>
      <c r="E27" s="21" t="str">
        <f>('Decision outcomes'!G11)</f>
        <v>Yes</v>
      </c>
      <c r="F27" s="24" t="s">
        <v>32</v>
      </c>
      <c r="G27" s="21" t="s">
        <v>0</v>
      </c>
      <c r="H27" s="13"/>
    </row>
    <row r="28" spans="2:8" x14ac:dyDescent="0.25">
      <c r="B28" s="13"/>
      <c r="C28" s="13"/>
      <c r="D28" s="13"/>
      <c r="E28" s="13"/>
      <c r="F28" s="13"/>
      <c r="G28" s="13"/>
      <c r="H28" s="13"/>
    </row>
    <row r="29" spans="2:8" x14ac:dyDescent="0.25">
      <c r="B29" s="13"/>
      <c r="C29" s="13"/>
      <c r="D29" s="13"/>
      <c r="E29" s="13"/>
      <c r="F29" s="13"/>
      <c r="G29" s="13"/>
      <c r="H29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FC44-2C17-4E38-B288-773A082884DA}">
  <dimension ref="A1:D34"/>
  <sheetViews>
    <sheetView zoomScale="110" zoomScaleNormal="110" workbookViewId="0">
      <selection sqref="A1:D31"/>
    </sheetView>
  </sheetViews>
  <sheetFormatPr defaultRowHeight="15" x14ac:dyDescent="0.25"/>
  <cols>
    <col min="1" max="1" width="2.42578125" customWidth="1"/>
    <col min="2" max="2" width="22" style="29" customWidth="1"/>
    <col min="3" max="3" width="75.85546875" customWidth="1"/>
    <col min="4" max="4" width="3.28515625" customWidth="1"/>
  </cols>
  <sheetData>
    <row r="1" spans="1:4" ht="30.75" customHeight="1" x14ac:dyDescent="0.25">
      <c r="A1" s="30"/>
      <c r="B1" s="31" t="s">
        <v>66</v>
      </c>
      <c r="C1" s="30"/>
      <c r="D1" s="30"/>
    </row>
    <row r="2" spans="1:4" x14ac:dyDescent="0.25">
      <c r="A2" s="30"/>
      <c r="B2" s="31"/>
      <c r="C2" s="30"/>
      <c r="D2" s="30"/>
    </row>
    <row r="3" spans="1:4" x14ac:dyDescent="0.25">
      <c r="A3" s="30"/>
      <c r="B3" s="31" t="s">
        <v>49</v>
      </c>
      <c r="C3" s="30"/>
      <c r="D3" s="30"/>
    </row>
    <row r="4" spans="1:4" ht="15.75" thickBot="1" x14ac:dyDescent="0.3">
      <c r="A4" s="30"/>
      <c r="B4" s="31"/>
      <c r="C4" s="30"/>
      <c r="D4" s="30"/>
    </row>
    <row r="5" spans="1:4" x14ac:dyDescent="0.25">
      <c r="A5" s="30"/>
      <c r="B5" s="39" t="s">
        <v>37</v>
      </c>
      <c r="C5" s="32" t="str">
        <f>IF('Recommended Design wkng'!E4="No", 'Recommended Design wkng'!F4, "")</f>
        <v/>
      </c>
      <c r="D5" s="30"/>
    </row>
    <row r="6" spans="1:4" x14ac:dyDescent="0.25">
      <c r="A6" s="30"/>
      <c r="B6" s="40"/>
      <c r="C6" s="33" t="str">
        <f>IF('Recommended Design wkng'!E5="Yes", 'Recommended Design wkng'!F5, "")</f>
        <v/>
      </c>
      <c r="D6" s="30"/>
    </row>
    <row r="7" spans="1:4" ht="15.75" thickBot="1" x14ac:dyDescent="0.3">
      <c r="A7" s="30"/>
      <c r="B7" s="41"/>
      <c r="C7" s="34" t="str">
        <f>('Recommended Design wkng'!F25&amp;'Recommended Design wkng'!E25)</f>
        <v>Sensor Specification - Switchable underwater  Yes</v>
      </c>
      <c r="D7" s="30"/>
    </row>
    <row r="8" spans="1:4" ht="15.75" thickBot="1" x14ac:dyDescent="0.3">
      <c r="A8" s="30"/>
      <c r="B8" s="31"/>
      <c r="C8" s="35"/>
      <c r="D8" s="30"/>
    </row>
    <row r="9" spans="1:4" x14ac:dyDescent="0.25">
      <c r="A9" s="30"/>
      <c r="B9" s="42" t="s">
        <v>39</v>
      </c>
      <c r="C9" s="32" t="str">
        <f>IF('Recommended Design wkng'!E6="No", 'Recommended Design wkng'!F6, "")</f>
        <v>Design and build a waterproof case</v>
      </c>
      <c r="D9" s="30"/>
    </row>
    <row r="10" spans="1:4" x14ac:dyDescent="0.25">
      <c r="A10" s="30"/>
      <c r="B10" s="43"/>
      <c r="C10" s="33" t="str">
        <f>IF('Recommended Design wkng'!E7="No", 'Recommended Design wkng'!F7, "")</f>
        <v/>
      </c>
      <c r="D10" s="30"/>
    </row>
    <row r="11" spans="1:4" x14ac:dyDescent="0.25">
      <c r="A11" s="30"/>
      <c r="B11" s="43"/>
      <c r="C11" s="33" t="str">
        <f>IF('Recommended Design wkng'!E11="Yes", 'Recommended Design wkng'!F11, "")</f>
        <v>LCD Viewing Screen required for case</v>
      </c>
      <c r="D11" s="30"/>
    </row>
    <row r="12" spans="1:4" ht="15.75" thickBot="1" x14ac:dyDescent="0.3">
      <c r="A12" s="30"/>
      <c r="B12" s="44"/>
      <c r="C12" s="34" t="str">
        <f>IF('Recommended Design wkng'!E12="Yes", 'Recommended Design wkng'!F12, "")</f>
        <v/>
      </c>
      <c r="D12" s="30"/>
    </row>
    <row r="13" spans="1:4" ht="15.75" thickBot="1" x14ac:dyDescent="0.3">
      <c r="A13" s="30"/>
      <c r="B13" s="31"/>
      <c r="C13" s="30"/>
      <c r="D13" s="30"/>
    </row>
    <row r="14" spans="1:4" x14ac:dyDescent="0.25">
      <c r="A14" s="30"/>
      <c r="B14" s="45" t="s">
        <v>35</v>
      </c>
      <c r="C14" s="32" t="str">
        <f>('Recommended Design wkng'!F10&amp;'Recommended Design wkng'!E10)</f>
        <v>Data through tether or onboard: Onboard</v>
      </c>
      <c r="D14" s="30"/>
    </row>
    <row r="15" spans="1:4" x14ac:dyDescent="0.25">
      <c r="A15" s="30"/>
      <c r="B15" s="46"/>
      <c r="C15" s="33" t="str">
        <f>IF('Recommended Design wkng'!E14="Laptop", 'Recommended Design wkng'!F14, "")</f>
        <v>Software Specification - Install the required software onto the Laptop</v>
      </c>
      <c r="D15" s="30"/>
    </row>
    <row r="16" spans="1:4" x14ac:dyDescent="0.25">
      <c r="A16" s="30"/>
      <c r="B16" s="46"/>
      <c r="C16" s="33" t="str">
        <f>('Recommended Design wkng'!F15&amp;'Recommended Design wkng'!E15)</f>
        <v>Install the required software onto the device: Custom</v>
      </c>
      <c r="D16" s="30"/>
    </row>
    <row r="17" spans="1:4" x14ac:dyDescent="0.25">
      <c r="A17" s="30"/>
      <c r="B17" s="46"/>
      <c r="C17" s="33" t="str">
        <f>IF('Recommended Design wkng'!E16="No", 'Recommended Design wkng'!F16, "")</f>
        <v/>
      </c>
      <c r="D17" s="30"/>
    </row>
    <row r="18" spans="1:4" x14ac:dyDescent="0.25">
      <c r="A18" s="30"/>
      <c r="B18" s="46"/>
      <c r="C18" s="33" t="str">
        <f>('Recommended Design wkng'!F17&amp;'Recommended Design wkng'!E17)</f>
        <v>Date visualisation: Live view</v>
      </c>
      <c r="D18" s="30"/>
    </row>
    <row r="19" spans="1:4" x14ac:dyDescent="0.25">
      <c r="A19" s="30"/>
      <c r="B19" s="46"/>
      <c r="C19" s="33" t="str">
        <f>('Recommended Design wkng'!F18&amp;'Recommended Design wkng'!E18)</f>
        <v>Data processing to be: Live</v>
      </c>
      <c r="D19" s="30"/>
    </row>
    <row r="20" spans="1:4" ht="15.75" thickBot="1" x14ac:dyDescent="0.3">
      <c r="A20" s="30"/>
      <c r="B20" s="47"/>
      <c r="C20" s="34" t="str">
        <f>('Recommended Design wkng'!F24&amp;'Recommended Design wkng'!E24)</f>
        <v>Software Specification - Data accuracy definition: 1cm</v>
      </c>
      <c r="D20" s="30"/>
    </row>
    <row r="21" spans="1:4" ht="15.75" thickBot="1" x14ac:dyDescent="0.3">
      <c r="A21" s="30"/>
      <c r="B21" s="31"/>
      <c r="C21" s="30"/>
      <c r="D21" s="30"/>
    </row>
    <row r="22" spans="1:4" x14ac:dyDescent="0.25">
      <c r="A22" s="30"/>
      <c r="B22" s="48" t="s">
        <v>36</v>
      </c>
      <c r="C22" s="32" t="str">
        <f>('Recommended Design wkng'!F8&amp;'Recommended Design wkng'!E8)</f>
        <v>Tether required: Selfcontained</v>
      </c>
      <c r="D22" s="30"/>
    </row>
    <row r="23" spans="1:4" x14ac:dyDescent="0.25">
      <c r="A23" s="30"/>
      <c r="B23" s="49"/>
      <c r="C23" s="33" t="str">
        <f>('Recommended Design wkng'!F9&amp;'Recommended Design wkng'!E9)</f>
        <v>Power required: Onboard</v>
      </c>
      <c r="D23" s="30"/>
    </row>
    <row r="24" spans="1:4" x14ac:dyDescent="0.25">
      <c r="A24" s="30"/>
      <c r="B24" s="49"/>
      <c r="C24" s="33" t="str">
        <f>('Recommended Design wkng'!F20&amp;'Recommended Design wkng'!E20)</f>
        <v>Test Rig specification - Distance scale: 500-2000mm</v>
      </c>
      <c r="D24" s="30"/>
    </row>
    <row r="25" spans="1:4" x14ac:dyDescent="0.25">
      <c r="A25" s="30"/>
      <c r="B25" s="49"/>
      <c r="C25" s="33" t="str">
        <f>('Recommended Design wkng'!F21&amp;'Recommended Design wkng'!E21)</f>
        <v>Test Rig specification - per depth choice: 5-20m</v>
      </c>
      <c r="D25" s="30"/>
    </row>
    <row r="26" spans="1:4" x14ac:dyDescent="0.25">
      <c r="A26" s="30"/>
      <c r="B26" s="49"/>
      <c r="C26" s="33" t="str">
        <f>('Recommended Design wkng'!F22&amp;'Recommended Design wkng'!E22)</f>
        <v>Test Rig specification - Distance options, multiple measurements required: Yes</v>
      </c>
      <c r="D26" s="30"/>
    </row>
    <row r="27" spans="1:4" x14ac:dyDescent="0.25">
      <c r="A27" s="30"/>
      <c r="B27" s="49"/>
      <c r="C27" s="33" t="str">
        <f>('Recommended Design wkng'!F23&amp;'Recommended Design wkng'!E23)</f>
        <v>Test Rig specification - Negative, Neutral or Positively buoyant construction: Neutral</v>
      </c>
      <c r="D27" s="30"/>
    </row>
    <row r="28" spans="1:4" ht="15.75" thickBot="1" x14ac:dyDescent="0.3">
      <c r="A28" s="30"/>
      <c r="B28" s="50"/>
      <c r="C28" s="34" t="str">
        <f>IF('Recommended Design wkng'!E26="Yes", 'Recommended Design wkng'!F26, "")</f>
        <v/>
      </c>
      <c r="D28" s="30"/>
    </row>
    <row r="29" spans="1:4" ht="15.75" thickBot="1" x14ac:dyDescent="0.3">
      <c r="A29" s="30"/>
      <c r="B29" s="31"/>
      <c r="C29" s="30"/>
      <c r="D29" s="30"/>
    </row>
    <row r="30" spans="1:4" ht="15.75" thickBot="1" x14ac:dyDescent="0.3">
      <c r="A30" s="30"/>
      <c r="B30" s="38" t="s">
        <v>38</v>
      </c>
      <c r="C30" s="36" t="str">
        <f>IF('Recommended Design wkng'!E27="Yes", 'Recommended Design wkng'!F27, "")</f>
        <v>Implement an operating protocol including risk assessments for each element</v>
      </c>
      <c r="D30" s="30"/>
    </row>
    <row r="31" spans="1:4" x14ac:dyDescent="0.25">
      <c r="A31" s="30"/>
      <c r="B31" s="31"/>
      <c r="C31" s="30"/>
      <c r="D31" s="30"/>
    </row>
    <row r="32" spans="1:4" x14ac:dyDescent="0.25">
      <c r="A32" s="30"/>
      <c r="B32" s="31"/>
      <c r="C32" s="30"/>
      <c r="D32" s="30"/>
    </row>
    <row r="33" spans="1:4" x14ac:dyDescent="0.25">
      <c r="A33" s="30"/>
      <c r="B33" s="31"/>
      <c r="C33" s="30"/>
      <c r="D33" s="30"/>
    </row>
    <row r="34" spans="1:4" x14ac:dyDescent="0.25">
      <c r="A34" s="30"/>
      <c r="B34" s="31"/>
      <c r="C34" s="30"/>
      <c r="D34" s="30"/>
    </row>
  </sheetData>
  <mergeCells count="4">
    <mergeCell ref="B5:B7"/>
    <mergeCell ref="B9:B12"/>
    <mergeCell ref="B14:B20"/>
    <mergeCell ref="B22:B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C467-D60A-44BE-B1DA-F4AC80AF0417}">
  <dimension ref="A1:D30"/>
  <sheetViews>
    <sheetView tabSelected="1" workbookViewId="0">
      <selection activeCell="B1" sqref="B1:C29"/>
    </sheetView>
  </sheetViews>
  <sheetFormatPr defaultRowHeight="15" x14ac:dyDescent="0.25"/>
  <cols>
    <col min="3" max="3" width="69.140625" customWidth="1"/>
  </cols>
  <sheetData>
    <row r="1" spans="1:4" ht="33.75" customHeight="1" x14ac:dyDescent="0.25">
      <c r="A1" s="30"/>
      <c r="B1" s="31" t="s">
        <v>77</v>
      </c>
      <c r="C1" s="30"/>
      <c r="D1" s="30"/>
    </row>
    <row r="2" spans="1:4" x14ac:dyDescent="0.25">
      <c r="A2" s="30"/>
      <c r="B2" s="30"/>
      <c r="C2" s="30"/>
      <c r="D2" s="30"/>
    </row>
    <row r="3" spans="1:4" x14ac:dyDescent="0.25">
      <c r="A3" s="30"/>
      <c r="B3" s="31" t="s">
        <v>67</v>
      </c>
      <c r="C3" s="30"/>
      <c r="D3" s="30"/>
    </row>
    <row r="4" spans="1:4" x14ac:dyDescent="0.25">
      <c r="A4" s="30"/>
      <c r="B4" s="30"/>
      <c r="C4" s="30" t="s">
        <v>70</v>
      </c>
      <c r="D4" s="30"/>
    </row>
    <row r="5" spans="1:4" x14ac:dyDescent="0.25">
      <c r="A5" s="30"/>
      <c r="B5" s="30"/>
      <c r="C5" s="30" t="s">
        <v>71</v>
      </c>
      <c r="D5" s="30"/>
    </row>
    <row r="6" spans="1:4" x14ac:dyDescent="0.25">
      <c r="A6" s="30"/>
      <c r="B6" s="30"/>
      <c r="C6" s="30" t="s">
        <v>72</v>
      </c>
      <c r="D6" s="30"/>
    </row>
    <row r="7" spans="1:4" x14ac:dyDescent="0.25">
      <c r="A7" s="30"/>
      <c r="B7" s="30"/>
      <c r="C7" s="30" t="s">
        <v>108</v>
      </c>
      <c r="D7" s="30"/>
    </row>
    <row r="8" spans="1:4" x14ac:dyDescent="0.25">
      <c r="A8" s="30"/>
      <c r="B8" s="30"/>
      <c r="C8" s="30" t="s">
        <v>73</v>
      </c>
      <c r="D8" s="30"/>
    </row>
    <row r="9" spans="1:4" x14ac:dyDescent="0.25">
      <c r="A9" s="30"/>
      <c r="B9" s="30"/>
      <c r="C9" s="30" t="s">
        <v>74</v>
      </c>
      <c r="D9" s="30"/>
    </row>
    <row r="10" spans="1:4" x14ac:dyDescent="0.25">
      <c r="A10" s="30"/>
      <c r="B10" s="30"/>
      <c r="C10" s="30" t="s">
        <v>75</v>
      </c>
      <c r="D10" s="30"/>
    </row>
    <row r="11" spans="1:4" x14ac:dyDescent="0.25">
      <c r="A11" s="30"/>
      <c r="B11" s="30"/>
      <c r="C11" s="30" t="s">
        <v>76</v>
      </c>
      <c r="D11" s="30"/>
    </row>
    <row r="12" spans="1:4" x14ac:dyDescent="0.25">
      <c r="A12" s="30"/>
      <c r="B12" s="30"/>
      <c r="C12" s="30" t="s">
        <v>81</v>
      </c>
      <c r="D12" s="30"/>
    </row>
    <row r="13" spans="1:4" x14ac:dyDescent="0.25">
      <c r="A13" s="30"/>
      <c r="B13" s="30"/>
      <c r="C13" s="30" t="s">
        <v>107</v>
      </c>
      <c r="D13" s="30"/>
    </row>
    <row r="14" spans="1:4" x14ac:dyDescent="0.25">
      <c r="A14" s="30"/>
      <c r="B14" s="30"/>
      <c r="C14" s="30"/>
      <c r="D14" s="30"/>
    </row>
    <row r="15" spans="1:4" x14ac:dyDescent="0.25">
      <c r="A15" s="30"/>
      <c r="B15" s="31" t="s">
        <v>68</v>
      </c>
      <c r="C15" s="30"/>
      <c r="D15" s="30"/>
    </row>
    <row r="16" spans="1:4" x14ac:dyDescent="0.25">
      <c r="A16" s="30"/>
      <c r="B16" s="30"/>
      <c r="C16" s="30" t="s">
        <v>70</v>
      </c>
      <c r="D16" s="30"/>
    </row>
    <row r="17" spans="1:4" x14ac:dyDescent="0.25">
      <c r="A17" s="30"/>
      <c r="B17" s="30"/>
      <c r="C17" s="30" t="s">
        <v>71</v>
      </c>
      <c r="D17" s="30"/>
    </row>
    <row r="18" spans="1:4" x14ac:dyDescent="0.25">
      <c r="A18" s="30"/>
      <c r="B18" s="30"/>
      <c r="C18" s="30" t="s">
        <v>72</v>
      </c>
      <c r="D18" s="30"/>
    </row>
    <row r="19" spans="1:4" x14ac:dyDescent="0.25">
      <c r="A19" s="30"/>
      <c r="B19" s="30"/>
      <c r="C19" s="30" t="s">
        <v>108</v>
      </c>
      <c r="D19" s="30"/>
    </row>
    <row r="20" spans="1:4" x14ac:dyDescent="0.25">
      <c r="A20" s="30"/>
      <c r="B20" s="30"/>
      <c r="C20" s="30" t="s">
        <v>73</v>
      </c>
      <c r="D20" s="30"/>
    </row>
    <row r="21" spans="1:4" x14ac:dyDescent="0.25">
      <c r="A21" s="30"/>
      <c r="B21" s="30"/>
      <c r="C21" s="30" t="s">
        <v>78</v>
      </c>
      <c r="D21" s="30"/>
    </row>
    <row r="22" spans="1:4" x14ac:dyDescent="0.25">
      <c r="A22" s="30"/>
      <c r="B22" s="30"/>
      <c r="C22" s="30" t="s">
        <v>75</v>
      </c>
      <c r="D22" s="30"/>
    </row>
    <row r="23" spans="1:4" x14ac:dyDescent="0.25">
      <c r="A23" s="30"/>
      <c r="B23" s="30"/>
      <c r="C23" s="30" t="s">
        <v>79</v>
      </c>
      <c r="D23" s="30"/>
    </row>
    <row r="24" spans="1:4" x14ac:dyDescent="0.25">
      <c r="A24" s="30"/>
      <c r="B24" s="30"/>
      <c r="C24" s="30" t="s">
        <v>76</v>
      </c>
      <c r="D24" s="30"/>
    </row>
    <row r="25" spans="1:4" x14ac:dyDescent="0.25">
      <c r="A25" s="30"/>
      <c r="B25" s="30"/>
      <c r="C25" s="30" t="s">
        <v>82</v>
      </c>
      <c r="D25" s="30"/>
    </row>
    <row r="26" spans="1:4" x14ac:dyDescent="0.25">
      <c r="A26" s="30"/>
      <c r="B26" s="30"/>
      <c r="C26" s="30" t="s">
        <v>109</v>
      </c>
      <c r="D26" s="30"/>
    </row>
    <row r="27" spans="1:4" x14ac:dyDescent="0.25">
      <c r="A27" s="30"/>
      <c r="B27" s="30"/>
      <c r="C27" s="30"/>
      <c r="D27" s="30"/>
    </row>
    <row r="28" spans="1:4" x14ac:dyDescent="0.25">
      <c r="A28" s="30"/>
      <c r="B28" s="31" t="s">
        <v>69</v>
      </c>
      <c r="C28" s="30"/>
      <c r="D28" s="30"/>
    </row>
    <row r="29" spans="1:4" x14ac:dyDescent="0.25">
      <c r="A29" s="30"/>
      <c r="B29" s="30"/>
      <c r="C29" s="30" t="s">
        <v>80</v>
      </c>
      <c r="D29" s="30"/>
    </row>
    <row r="30" spans="1:4" x14ac:dyDescent="0.25">
      <c r="A30" s="30"/>
      <c r="B30" s="30"/>
      <c r="C30" s="30"/>
      <c r="D3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Process</vt:lpstr>
      <vt:lpstr>1 Questionnaire 2 Choices</vt:lpstr>
      <vt:lpstr>Decision outcomes</vt:lpstr>
      <vt:lpstr>Recommended Design wkng</vt:lpstr>
      <vt:lpstr>3 Recommended Design</vt:lpstr>
      <vt:lpstr>Final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Stanley</dc:creator>
  <cp:lastModifiedBy>Mark Stanley</cp:lastModifiedBy>
  <cp:lastPrinted>2025-06-17T09:10:24Z</cp:lastPrinted>
  <dcterms:created xsi:type="dcterms:W3CDTF">2025-05-15T09:22:46Z</dcterms:created>
  <dcterms:modified xsi:type="dcterms:W3CDTF">2026-06-07T09:06:32Z</dcterms:modified>
</cp:coreProperties>
</file>